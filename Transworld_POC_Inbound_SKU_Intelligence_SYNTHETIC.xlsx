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KPI_Dashboard" sheetId="2" state="visible" r:id="rId4"/>
    <sheet name="Test_Cases" sheetId="3" state="visible" r:id="rId5"/>
    <sheet name="Item_Master" sheetId="4" state="visible" r:id="rId6"/>
    <sheet name="Inbound_Emails" sheetId="5" state="visible" r:id="rId7"/>
    <sheet name="Documents" sheetId="6" state="visible" r:id="rId8"/>
    <sheet name="Line_Items" sheetId="7" state="visible" r:id="rId9"/>
    <sheet name="Exceptions" sheetId="8" state="visible" r:id="rId10"/>
    <sheet name="Shipment_Summary" sheetId="9" state="visible" r:id="rId11"/>
    <sheet name="Decision_Rules" sheetId="10" state="visible" r:id="rId12"/>
    <sheet name="Suppliers" sheetId="11" state="visible" r:id="rId13"/>
    <sheet name="Dashboard_Spec" sheetId="12" state="visible" r:id="rId14"/>
    <sheet name="Stage_Transformation" sheetId="13" state="visible" r:id="rId15"/>
    <sheet name="Slide_Plan" sheetId="14" state="visible" r:id="rId16"/>
  </sheets>
  <definedNames>
    <definedName function="false" hidden="true" localSheetId="5" name="_xlnm._FilterDatabase" vbProcedure="false">Documents!$A$4:$M$83</definedName>
    <definedName function="false" hidden="true" localSheetId="3" name="_xlnm._FilterDatabase" vbProcedure="false">Item_Master!$A$4:$K$84</definedName>
    <definedName function="false" hidden="true" localSheetId="6" name="_xlnm._FilterDatabase" vbProcedure="false">Line_Items!$A$4:$AC$91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<sst xmlns="http://schemas.openxmlformats.org/spreadsheetml/2006/main" count="4132" uniqueCount="1337">
  <si>
    <t xml:space="preserve">⚠ Synthetic data — created solely for POC demonstration. Not Transworld data. All suppliers, SKUs, shipments, emails and documents are fictional.</t>
  </si>
  <si>
    <t xml:space="preserve">Proof of Concept – Intelligent Inbound Processing &amp; SKU Onboarding</t>
  </si>
  <si>
    <t xml:space="preserve">SP Jain MGB Capstone | WMS Team A – Inbound &amp; SKU Intelligence | Illustrative scenario for Transworld Group (no company data used)</t>
  </si>
  <si>
    <t xml:space="preserve">Purpose</t>
  </si>
  <si>
    <t xml:space="preserve">Demonstrate how the proposed AI-assisted inbound process would work if Transworld data and system access were available. Every record in this workbook is synthetic.</t>
  </si>
  <si>
    <t xml:space="preserve">Story</t>
  </si>
  <si>
    <t xml:space="preserve">Inbound email → capture attachments → identify relevant documents → classify → extract → normalise &amp; validate → compare SKUs with WMS Item Master → Existing / Potential New / Ambiguous → confidence score → route uncertain cases to a human → validated structured output.</t>
  </si>
  <si>
    <t xml:space="preserve">Period simulated</t>
  </si>
  <si>
    <t xml:space="preserve">Two weeks of operations: 1–14 September 2026 (10 working days).</t>
  </si>
  <si>
    <t xml:space="preserve">Dataset size</t>
  </si>
  <si>
    <t xml:space="preserve">80 SKUs in Item Master | 8 fictional suppliers | 30 inbound emails / shipments | 79 attachments | 103 line items | 7 exception records (6 seeded + 1 AI false alarm). Majority of shipments are routine; edge cases are the minority.</t>
  </si>
  <si>
    <t xml:space="preserve">How to read</t>
  </si>
  <si>
    <t xml:space="preserve">Each data sheet separates what was RECEIVED, the GROUND TRUTH (the answer we planted), the SIMULATED AI OUTPUT and the TEST RESULT. KPIs are calculated live by formula from these columns – nothing on the dashboard is typed in.</t>
  </si>
  <si>
    <t xml:space="preserve">Colour legend</t>
  </si>
  <si>
    <t xml:space="preserve">Column colours:  Dark blue = data as received (input)   |   Green = GROUND TRUTH (known correct answer)   |   Blue = SIMULATED AI OUTPUT   |   Orange = TEST RESULT (formula: AI vs ground truth)</t>
  </si>
  <si>
    <t xml:space="preserve">Sheets</t>
  </si>
  <si>
    <t xml:space="preserve">Suppliers · Item_Master · Inbound_Emails · Documents · Line_Items · Exceptions · Shipment_Summary · Decision_Rules · Test_Cases · KPI_Dashboard · Dashboard_Spec · Stage_Transformation · Slide_Plan</t>
  </si>
  <si>
    <t xml:space="preserve">Deliberate AI errors</t>
  </si>
  <si>
    <t xml:space="preserve">Small, realistic errors were planted in the simulated AI output so testing is meaningful: 2 document misclassifications (scanned/irrelevant files), 2 extraction errors, 3 SKU decision errors (1 unsafe, 2 conservative), 1 missed exception and 1 false alarm (caused by a mis-read quantity).</t>
  </si>
  <si>
    <t xml:space="preserve">Editing</t>
  </si>
  <si>
    <t xml:space="preserve">To run a what-if, change any GROUND TRUTH or AI OUTPUT value (green/blue columns); all TEST RESULT columns, Shipment_Summary and KPI_Dashboard update automatically.</t>
  </si>
  <si>
    <t xml:space="preserve">Key message</t>
  </si>
  <si>
    <t xml:space="preserve">We are NOT claiming this is Transworld's data. We are demonstrating how the proposed solution would work if the required Transworld data and system access were available.</t>
  </si>
  <si>
    <t xml:space="preserve">STEP 4 – POC Output Dashboard (two-week synthetic run, 1–14 Sep 2026)</t>
  </si>
  <si>
    <t xml:space="preserve">Every number below is a live formula over the data sheets – nothing is typed in. Ground truth = planted answer; System output = simulated AI; Accuracy = agreement.</t>
  </si>
  <si>
    <t xml:space="preserve">KPI</t>
  </si>
  <si>
    <t xml:space="preserve">Ground truth</t>
  </si>
  <si>
    <t xml:space="preserve">System output</t>
  </si>
  <si>
    <t xml:space="preserve">Result</t>
  </si>
  <si>
    <t xml:space="preserve">Definition / formula</t>
  </si>
  <si>
    <t xml:space="preserve">A. VOLUME PROCESSED</t>
  </si>
  <si>
    <t xml:space="preserve">Inbound emails / shipments</t>
  </si>
  <si>
    <t xml:space="preserve">Count of shipments in Shipment_Summary</t>
  </si>
  <si>
    <t xml:space="preserve">Attachments received</t>
  </si>
  <si>
    <t xml:space="preserve">All files attached to the emails, relevant or not</t>
  </si>
  <si>
    <t xml:space="preserve">Relevant documents processed</t>
  </si>
  <si>
    <t xml:space="preserve">GT: documents that are shipment documents. AI: documents the AI treated as relevant</t>
  </si>
  <si>
    <t xml:space="preserve">Line items processed</t>
  </si>
  <si>
    <t xml:space="preserve">All line items extracted from Packing Lists</t>
  </si>
  <si>
    <t xml:space="preserve">B. SKU INTELLIGENCE (line level)</t>
  </si>
  <si>
    <t xml:space="preserve">Existing SKUs</t>
  </si>
  <si>
    <t xml:space="preserve">Lines classified 'Existing'</t>
  </si>
  <si>
    <t xml:space="preserve">Potential new SKUs</t>
  </si>
  <si>
    <t xml:space="preserve">Lines classified 'New'</t>
  </si>
  <si>
    <t xml:space="preserve">Ambiguous SKUs</t>
  </si>
  <si>
    <t xml:space="preserve">Lines classified 'Ambiguous'</t>
  </si>
  <si>
    <t xml:space="preserve">C. VALIDATION &amp; EXCEPTIONS</t>
  </si>
  <si>
    <t xml:space="preserve">Validation exceptions (seeded vs flagged)</t>
  </si>
  <si>
    <t xml:space="preserve">Seeded = planted in data; Flagged = raised by AI (includes false alarms)</t>
  </si>
  <si>
    <t xml:space="preserve">Exceptions correctly detected</t>
  </si>
  <si>
    <t xml:space="preserve">Seeded AND flagged</t>
  </si>
  <si>
    <t xml:space="preserve">Exceptions missed</t>
  </si>
  <si>
    <t xml:space="preserve">Seeded but not flagged</t>
  </si>
  <si>
    <t xml:space="preserve">False alarms</t>
  </si>
  <si>
    <t xml:space="preserve">Flagged but not seeded</t>
  </si>
  <si>
    <t xml:space="preserve">D. ACCURACY (system output vs ground truth)</t>
  </si>
  <si>
    <t xml:space="preserve">Document classification accuracy</t>
  </si>
  <si>
    <t xml:space="preserve">Correct classifications / Total attachments</t>
  </si>
  <si>
    <t xml:space="preserve">Data extraction accuracy (line level)</t>
  </si>
  <si>
    <t xml:space="preserve">Lines with all fields extracted correctly / Total lines</t>
  </si>
  <si>
    <t xml:space="preserve">UOM normalisation accuracy</t>
  </si>
  <si>
    <t xml:space="preserve">Correct normalised UOM / Total lines</t>
  </si>
  <si>
    <t xml:space="preserve">SKU matching accuracy</t>
  </si>
  <si>
    <t xml:space="preserve">Correct SKU decisions (Existing/New/Ambiguous) / Total SKU decisions</t>
  </si>
  <si>
    <t xml:space="preserve">Line validation accuracy</t>
  </si>
  <si>
    <t xml:space="preserve">Correct validation status / Total lines</t>
  </si>
  <si>
    <t xml:space="preserve">Exception detection rate (recall)</t>
  </si>
  <si>
    <t xml:space="preserve">Correctly identified exceptions / Total seeded exceptions</t>
  </si>
  <si>
    <t xml:space="preserve">Exception precision</t>
  </si>
  <si>
    <t xml:space="preserve">Correct flags / All flags raised</t>
  </si>
  <si>
    <t xml:space="preserve">E. AUTOMATION &amp; HUMAN REVIEW</t>
  </si>
  <si>
    <t xml:space="preserve">Lines auto-processed</t>
  </si>
  <si>
    <t xml:space="preserve">Straight-through rate = auto-processed lines / total lines</t>
  </si>
  <si>
    <t xml:space="preserve">Lines routed to human (review + new-SKU approval)</t>
  </si>
  <si>
    <t xml:space="preserve">Human review share</t>
  </si>
  <si>
    <t xml:space="preserve">Shipments auto-processed end-to-end</t>
  </si>
  <si>
    <t xml:space="preserve">GT: shipments that were genuinely clean. AI: shipments with zero human touch</t>
  </si>
  <si>
    <t xml:space="preserve">Shipments routed to human review</t>
  </si>
  <si>
    <t xml:space="preserve">Shipment routing accuracy</t>
  </si>
  <si>
    <t xml:space="preserve">Correctly routed shipments / Total shipments</t>
  </si>
  <si>
    <t xml:space="preserve">Successful automated processing</t>
  </si>
  <si>
    <t xml:space="preserve">Clean shipments correctly auto-processed</t>
  </si>
  <si>
    <t xml:space="preserve">CRITICAL: shipments wrongly auto-processed</t>
  </si>
  <si>
    <t xml:space="preserve">Shipments that needed review but passed straight through – drive rule fixes F1/F2</t>
  </si>
  <si>
    <t xml:space="preserve">SKU decision matrix (rows = ground truth, columns = system output)</t>
  </si>
  <si>
    <t xml:space="preserve">Ground truth ↓ / System →</t>
  </si>
  <si>
    <t xml:space="preserve">Existing</t>
  </si>
  <si>
    <t xml:space="preserve">New</t>
  </si>
  <si>
    <t xml:space="preserve">Ambiguous</t>
  </si>
  <si>
    <t xml:space="preserve">Reading</t>
  </si>
  <si>
    <t xml:space="preserve">Off-diagonal = existing SKU held for review (safe, extra work)</t>
  </si>
  <si>
    <t xml:space="preserve">Off-diagonal = new SKU held as ambiguous (safe)</t>
  </si>
  <si>
    <t xml:space="preserve">'Existing' column here = UNSAFE auto-match (finding F1)</t>
  </si>
  <si>
    <t xml:space="preserve">Shipment routing outcomes</t>
  </si>
  <si>
    <t xml:space="preserve">Outcome</t>
  </si>
  <si>
    <t xml:space="preserve">Shipments</t>
  </si>
  <si>
    <t xml:space="preserve">Correct – straight-through</t>
  </si>
  <si>
    <t xml:space="preserve">Correct – caught</t>
  </si>
  <si>
    <t xml:space="preserve">Unnecessary review</t>
  </si>
  <si>
    <t xml:space="preserve">MISSED – wrongly auto-processed</t>
  </si>
  <si>
    <t xml:space="preserve">STEP 3 – Representative End-to-End Test Cases (A–E) + testing feedback</t>
  </si>
  <si>
    <t xml:space="preserve">Each column follows one shipment through the proposed process. Values are taken from the synthetic dataset (see Line_Items / Documents).</t>
  </si>
  <si>
    <t xml:space="preserve">Stage</t>
  </si>
  <si>
    <t xml:space="preserve">TEST A – Clean shipment
SYN-SH-001</t>
  </si>
  <si>
    <t xml:space="preserve">TEST B – Potential New SKU
SYN-SH-008</t>
  </si>
  <si>
    <t xml:space="preserve">TEST C – Ambiguous SKU
SYN-SH-011</t>
  </si>
  <si>
    <t xml:space="preserve">TEST D – Missing quantity
SYN-SH-013</t>
  </si>
  <si>
    <t xml:space="preserve">TEST E – Document conflict
SYN-SH-023</t>
  </si>
  <si>
    <t xml:space="preserve">1. INPUT</t>
  </si>
  <si>
    <t xml:space="preserve">Email SYN-EM-001 from Brightlink Electronics (fictional), 1 Sep. 3 attachments: Packing_List_4401.pdf, CI 7701.pdf, Certificate_of_Origin_001.pdf.</t>
  </si>
  <si>
    <t xml:space="preserve">Email SYN-EM-008 from Voltix Components (fictional). 3 attachments: Packing List, Commercial Invoice, Certificate of Origin.</t>
  </si>
  <si>
    <t xml:space="preserve">Email SYN-EM-011 from Brightlink Electronics (fictional). 3 attachments: packinglist 4411.pdf, CI 7711.pdf, Certificate of Origin.</t>
  </si>
  <si>
    <t xml:space="preserve">Email SYN-EM-013 from Crestline Consumer Products (fictional). 2 attachments: Packing List, Commercial Invoice.</t>
  </si>
  <si>
    <t xml:space="preserve">Email SYN-EM-023 from Desert Palm Foodstuff (fictional). 3 attachments: Packing List, Invoice, Bill of Entry.</t>
  </si>
  <si>
    <t xml:space="preserve">2. DOCUMENT CLASSIFICATION</t>
  </si>
  <si>
    <t xml:space="preserve">PL → Packing List (conf. high); CI → Commercial Invoice; COO → Certificate of Origin. All 3 relevant, all ≥ 80% → auto.</t>
  </si>
  <si>
    <t xml:space="preserve">3 documents classified correctly; all relevant; auto-accepted.</t>
  </si>
  <si>
    <t xml:space="preserve">2 documents classified correctly. Packing List flagged 'Incomplete'.</t>
  </si>
  <si>
    <t xml:space="preserve">3 documents classified correctly; auto-accepted.</t>
  </si>
  <si>
    <t xml:space="preserve">3. DATA EXTRACTION</t>
  </si>
  <si>
    <t xml:space="preserve">4 lines: EL-4105 Bluetooth Speaker ×600 | EL-4230 LED Strip ×150 | EL-4220 Desk Lamp ×500 | EL-4110 Earbuds Black ×1,000. All PCS, HS, origin China, weights captured.</t>
  </si>
  <si>
    <t xml:space="preserve">4 lines incl. EL-7810 'USB-C Hub 7-in-1 Aluminium' ×300 PCS, HS 8471.80, origin Malaysia, 33.0 kg.</t>
  </si>
  <si>
    <t xml:space="preserve">4 lines incl. 'EL-400I' 'Wireless Router' ×200 PCS, HS 8517.62, China, 240 kg.</t>
  </si>
  <si>
    <t xml:space="preserve">3 lines. Line 2: CG-3210 Hair Dryer 1800W – Quantity field BLANK (weight 168 kg present). Invoice shows 240.</t>
  </si>
  <si>
    <t xml:space="preserve">3 lines. Line 1: PK-6501 Bottled Water 24x500ml – Packing List qty 500 CTN; Invoice qty 550 CTN.</t>
  </si>
  <si>
    <t xml:space="preserve">4. VALIDATION</t>
  </si>
  <si>
    <t xml:space="preserve">All mandatory fields present. PL = CI on qty, HS, origin, weight. → VALID.</t>
  </si>
  <si>
    <t xml:space="preserve">All fields present; PL = CI. → VALID.</t>
  </si>
  <si>
    <t xml:space="preserve">All fields present; PL = CI. → VALID (the issue is identity, not data).</t>
  </si>
  <si>
    <t xml:space="preserve">Mandatory field check → FAILED. Missing field: Quantity (line SYN-LN-044).</t>
  </si>
  <si>
    <t xml:space="preserve">Cross-document check → CONFLICT. Field: Quantity. Source 1: Packing List = 500. Source 2: Invoice = 550.</t>
  </si>
  <si>
    <t xml:space="preserve">5. WMS ITEM MASTER LOOKUP</t>
  </si>
  <si>
    <t xml:space="preserve">All 4 codes found; descriptions match master exactly.</t>
  </si>
  <si>
    <t xml:space="preserve">EL-7810 not in master. Closest description: AC-2201 USB-C Cable (41% similar) – not a credible match.</t>
  </si>
  <si>
    <t xml:space="preserve">EL-400I not in master. Nearest codes: EL-4001 (1 character: letter 'I' vs digit '1'). Description 'Wireless Router' fits EL-4001 (AX1800) AND EL-4011 (AX3000).</t>
  </si>
  <si>
    <t xml:space="preserve">CG-3210 found – exact match.</t>
  </si>
  <si>
    <t xml:space="preserve">PK-6501 found – exact match.</t>
  </si>
  <si>
    <t xml:space="preserve">6. MATCH RESULT</t>
  </si>
  <si>
    <t xml:space="preserve">4 × EXISTING SKU.</t>
  </si>
  <si>
    <t xml:space="preserve">POTENTIAL NEW SKU. Draft created: EL-7810 | USB-C Hub 7-in-1 Aluminium | Electronics | PCS | HS 8471.80 | Malaysia | SUP-006 | 0.11 kg/unit | Status: Pending approval.</t>
  </si>
  <si>
    <t xml:space="preserve">AMBIGUOUS – two plausible candidates; not auto-matched.</t>
  </si>
  <si>
    <t xml:space="preserve">EXISTING SKU (identity fine) – but data incomplete.</t>
  </si>
  <si>
    <t xml:space="preserve">EXISTING SKU (identity fine) – but data conflicting.</t>
  </si>
  <si>
    <t xml:space="preserve">7. CONFIDENCE SCORE</t>
  </si>
  <si>
    <t xml:space="preserve">95%, 99%, 95%, 98% – all above 90% threshold.</t>
  </si>
  <si>
    <t xml:space="preserve">92% confidence that this is a genuinely new item.</t>
  </si>
  <si>
    <t xml:space="preserve">71% – below 90% threshold. Reason: potential character-level mismatch between extracted SKU and WMS Item Master.</t>
  </si>
  <si>
    <t xml:space="preserve">SKU match 97%; shipment blocked by validation failure.</t>
  </si>
  <si>
    <t xml:space="preserve">SKU match 95%; shipment blocked by validation conflict.</t>
  </si>
  <si>
    <t xml:space="preserve">8. DECISION</t>
  </si>
  <si>
    <t xml:space="preserve">AUTO-PROCESS – no human touch needed.</t>
  </si>
  <si>
    <t xml:space="preserve">ROUTE TO HUMAN APPROVAL (new SKUs are never created automatically). Other 3 lines auto-processed.</t>
  </si>
  <si>
    <t xml:space="preserve">ROUTE TO HUMAN REVIEW. Other 3 lines auto-processed.</t>
  </si>
  <si>
    <t xml:space="preserve">EXCEPTION RAISED – hold line; request corrected Packing List or confirm quantity.</t>
  </si>
  <si>
    <t xml:space="preserve">EXCEPTION RAISED – hold line; do not guess which quantity is correct.</t>
  </si>
  <si>
    <t xml:space="preserve">9. HUMAN INTERVENTION</t>
  </si>
  <si>
    <t xml:space="preserve">None.</t>
  </si>
  <si>
    <t xml:space="preserve">Reviewer sees draft with options APPROVE / EDIT / REJECT. Simulated decision: APPROVE → SKU EL-7810 created in WMS Item Master.</t>
  </si>
  <si>
    <t xml:space="preserve">Reviewer compares with PO line and supplier catalogue; selects EL-4001 (AX1800). System learns mapping 'EL-400I' → EL-4001 for this supplier.</t>
  </si>
  <si>
    <t xml:space="preserve">Reviewer contacts supplier; corrected quantity 240 confirmed (matches Invoice). Line released.</t>
  </si>
  <si>
    <t xml:space="preserve">Reviewer checks PO &amp; supplier: 500 CTN physically shipped; supplier issues credit note for 50 CTN. Line released at 500.</t>
  </si>
  <si>
    <t xml:space="preserve">10. FINAL OUTPUT</t>
  </si>
  <si>
    <t xml:space="preserve">Validated record: SYN-SH-001 | 4 lines | all Existing | Status: READY FOR RECEIVING.</t>
  </si>
  <si>
    <t xml:space="preserve">Validated record with 4 lines (1 newly onboarded SKU). Status: READY after approval.</t>
  </si>
  <si>
    <t xml:space="preserve">Validated record with corrected SKU. Status: READY after review.</t>
  </si>
  <si>
    <t xml:space="preserve">Validated record after correction. Status: READY; exception logged in audit trail.</t>
  </si>
  <si>
    <t xml:space="preserve">Validated record with resolved quantity. Status: READY; conflict + resolution logged.</t>
  </si>
  <si>
    <t xml:space="preserve">KEY MESSAGE</t>
  </si>
  <si>
    <t xml:space="preserve">Routine shipments flow straight through.</t>
  </si>
  <si>
    <t xml:space="preserve">New items are detected and drafted, but a person stays in control.</t>
  </si>
  <si>
    <t xml:space="preserve">The AI knows when it is unsure – it does not force a match.</t>
  </si>
  <si>
    <t xml:space="preserve">Incomplete data is stopped, not passed to the warehouse.</t>
  </si>
  <si>
    <t xml:space="preserve">The AI cross-checks documents instead of trusting a single one.</t>
  </si>
  <si>
    <t xml:space="preserve">TESTING FEEDBACK – what the planted errors taught us</t>
  </si>
  <si>
    <t xml:space="preserve">Finding</t>
  </si>
  <si>
    <t xml:space="preserve">What happened (synthetic test)</t>
  </si>
  <si>
    <t xml:space="preserve">Risk</t>
  </si>
  <si>
    <t xml:space="preserve">Proposed fix</t>
  </si>
  <si>
    <t xml:space="preserve">Status</t>
  </si>
  <si>
    <t xml:space="preserve">F1 – Unsafe auto-match</t>
  </si>
  <si>
    <t xml:space="preserve">SYN-SH-021: 'AC-221O' / 'USB-C Cable' auto-corrected to AC-2210 (2m) at 90%, but it could also be AC-2201 (1m). Ground truth = Ambiguous.</t>
  </si>
  <si>
    <t xml:space="preserve">High – wrong SKU received into stock</t>
  </si>
  <si>
    <t xml:space="preserve">Code correction allowed only when a distinguishing attribute (length, capacity, colour) also matches; otherwise Ambiguous. Or raise threshold for corrected codes to 95%.</t>
  </si>
  <si>
    <t xml:space="preserve">Rule update</t>
  </si>
  <si>
    <t xml:space="preserve">F2 – Missed weight conflict</t>
  </si>
  <si>
    <t xml:space="preserve">SYN-SH-025: Packing List vs Invoice gross weight differs 6.3%; tolerance of 10% let it pass.</t>
  </si>
  <si>
    <t xml:space="preserve">Medium – customs / billing discrepancy</t>
  </si>
  <si>
    <t xml:space="preserve">Tighten tolerance to 2–3% (to be set with Transworld operations).</t>
  </si>
  <si>
    <t xml:space="preserve">Threshold update</t>
  </si>
  <si>
    <t xml:space="preserve">F3 – HS code mis-read not caught</t>
  </si>
  <si>
    <t xml:space="preserve">SYN-SH-003: HS 8544.42 read as 8544.49; not compared with Item Master.</t>
  </si>
  <si>
    <t xml:space="preserve">Medium – customs classification</t>
  </si>
  <si>
    <t xml:space="preserve">Add check: extracted HS code vs Item Master HS for existing SKUs.</t>
  </si>
  <si>
    <t xml:space="preserve">New validation</t>
  </si>
  <si>
    <t xml:space="preserve">F4 – Scanned documents</t>
  </si>
  <si>
    <t xml:space="preserve">SYN-SH-012 scanned COO classed as Invoice (66%); SYN-SH-007 qty 1,200 read as 120. Both caught by low confidence / cross-check.</t>
  </si>
  <si>
    <t xml:space="preserve">Low – caught, but adds review effort</t>
  </si>
  <si>
    <t xml:space="preserve">Add scan-quality check; request digital originals from frequent suppliers.</t>
  </si>
  <si>
    <t xml:space="preserve">Process change</t>
  </si>
  <si>
    <t xml:space="preserve">F5 – Over-cautious decisions</t>
  </si>
  <si>
    <t xml:space="preserve">SYN-SH-009 abbreviated 'BT Spkr' and SYN-SH-022 new mesh kit held as Ambiguous.</t>
  </si>
  <si>
    <t xml:space="preserve">Low – safe, extra review</t>
  </si>
  <si>
    <t xml:space="preserve">Build supplier-specific abbreviation list from reviewer decisions.</t>
  </si>
  <si>
    <t xml:space="preserve">Learning loop</t>
  </si>
  <si>
    <t xml:space="preserve">STEP 1 – Synthetic WMS Item Master (80 SKUs)</t>
  </si>
  <si>
    <t xml:space="preserve">Designed with deliberate look-alikes for testing: EL-4001/EL-4011 (routers), AC-2201/AC-2210 (cables 1m/2m), CG-3005/CG-3006 (bottles 750/500ml), EL-4110/EL-4111 (earbuds black/white). 5 SKUs Inactive.</t>
  </si>
  <si>
    <t xml:space="preserve">SKU_ID</t>
  </si>
  <si>
    <t xml:space="preserve">Product_Description</t>
  </si>
  <si>
    <t xml:space="preserve">Category</t>
  </si>
  <si>
    <t xml:space="preserve">UOM</t>
  </si>
  <si>
    <t xml:space="preserve">HS_Code</t>
  </si>
  <si>
    <t xml:space="preserve">Country_of_Origin</t>
  </si>
  <si>
    <t xml:space="preserve">Supplier_ID</t>
  </si>
  <si>
    <t xml:space="preserve">Supplier_Name</t>
  </si>
  <si>
    <t xml:space="preserve">Weight_per_Unit (kg)</t>
  </si>
  <si>
    <t xml:space="preserve">Existing_Status</t>
  </si>
  <si>
    <t xml:space="preserve">Test_Design_Note</t>
  </si>
  <si>
    <t xml:space="preserve">EL-4001</t>
  </si>
  <si>
    <t xml:space="preserve">Wireless Router AX1800</t>
  </si>
  <si>
    <t xml:space="preserve">Electronics</t>
  </si>
  <si>
    <t xml:space="preserve">PCS</t>
  </si>
  <si>
    <t xml:space="preserve">8517.62</t>
  </si>
  <si>
    <t xml:space="preserve">China</t>
  </si>
  <si>
    <t xml:space="preserve">SUP-001</t>
  </si>
  <si>
    <t xml:space="preserve">Active</t>
  </si>
  <si>
    <t xml:space="preserve">Look-alike of EL-4011; target of EL-400I test</t>
  </si>
  <si>
    <t xml:space="preserve">EL-4011</t>
  </si>
  <si>
    <t xml:space="preserve">Wireless Router AX3000</t>
  </si>
  <si>
    <t xml:space="preserve">Look-alike of EL-4001</t>
  </si>
  <si>
    <t xml:space="preserve">EL-4020</t>
  </si>
  <si>
    <t xml:space="preserve">Mesh Wi-Fi Node AX1800 (single)</t>
  </si>
  <si>
    <t xml:space="preserve">Resembles new SKU EL-4025 (mesh 3-pack)</t>
  </si>
  <si>
    <t xml:space="preserve">EL-4105</t>
  </si>
  <si>
    <t xml:space="preserve">Bluetooth Speaker 10W Portable</t>
  </si>
  <si>
    <t xml:space="preserve">8518.22</t>
  </si>
  <si>
    <t xml:space="preserve">EL-4110</t>
  </si>
  <si>
    <t xml:space="preserve">Wireless Earbuds - True Wireless, Black</t>
  </si>
  <si>
    <t xml:space="preserve">8518.30</t>
  </si>
  <si>
    <t xml:space="preserve">Colour variant of EL-4111</t>
  </si>
  <si>
    <t xml:space="preserve">EL-4111</t>
  </si>
  <si>
    <t xml:space="preserve">Wireless Earbuds - True Wireless, White</t>
  </si>
  <si>
    <t xml:space="preserve">Colour variant of EL-4110</t>
  </si>
  <si>
    <t xml:space="preserve">EL-4210</t>
  </si>
  <si>
    <t xml:space="preserve">Smart LED Bulb 9W E27</t>
  </si>
  <si>
    <t xml:space="preserve">8539.52</t>
  </si>
  <si>
    <t xml:space="preserve">EL-4220</t>
  </si>
  <si>
    <t xml:space="preserve">LED Desk Lamp with USB Port</t>
  </si>
  <si>
    <t xml:space="preserve">9405.21</t>
  </si>
  <si>
    <t xml:space="preserve">EL-4301</t>
  </si>
  <si>
    <t xml:space="preserve">Power Bank 10000mAh</t>
  </si>
  <si>
    <t xml:space="preserve">8507.60</t>
  </si>
  <si>
    <t xml:space="preserve">Malaysia</t>
  </si>
  <si>
    <t xml:space="preserve">SUP-006</t>
  </si>
  <si>
    <t xml:space="preserve">EL-4302</t>
  </si>
  <si>
    <t xml:space="preserve">Power Bank 20000mAh</t>
  </si>
  <si>
    <t xml:space="preserve">EL-4310</t>
  </si>
  <si>
    <t xml:space="preserve">USB-C Wall Charger 20W</t>
  </si>
  <si>
    <t xml:space="preserve">8504.40</t>
  </si>
  <si>
    <t xml:space="preserve">EL-4401</t>
  </si>
  <si>
    <t xml:space="preserve">Wireless Keyboard - Full Size</t>
  </si>
  <si>
    <t xml:space="preserve">8471.60</t>
  </si>
  <si>
    <t xml:space="preserve">EL-4402</t>
  </si>
  <si>
    <t xml:space="preserve">Wireless Optical Mouse</t>
  </si>
  <si>
    <t xml:space="preserve">EL-4410</t>
  </si>
  <si>
    <t xml:space="preserve">HD Webcam 1080p</t>
  </si>
  <si>
    <t xml:space="preserve">8525.89</t>
  </si>
  <si>
    <t xml:space="preserve">EL-4501</t>
  </si>
  <si>
    <t xml:space="preserve">Smartwatch Fitness 1.4in</t>
  </si>
  <si>
    <t xml:space="preserve">Inactive</t>
  </si>
  <si>
    <t xml:space="preserve">EL-4230</t>
  </si>
  <si>
    <t xml:space="preserve">LED Strip Light 5m RGB</t>
  </si>
  <si>
    <t xml:space="preserve">9405.42</t>
  </si>
  <si>
    <t xml:space="preserve">AC-2201</t>
  </si>
  <si>
    <t xml:space="preserve">USB-C to USB-C Cable 1m</t>
  </si>
  <si>
    <t xml:space="preserve">Accessories</t>
  </si>
  <si>
    <t xml:space="preserve">8544.42</t>
  </si>
  <si>
    <t xml:space="preserve">Look-alike of AC-2210 (length differs)</t>
  </si>
  <si>
    <t xml:space="preserve">AC-2202</t>
  </si>
  <si>
    <t xml:space="preserve">USB-C to Lightning Cable 1m</t>
  </si>
  <si>
    <t xml:space="preserve">AC-2210</t>
  </si>
  <si>
    <t xml:space="preserve">USB-C to USB-C Cable 2m</t>
  </si>
  <si>
    <t xml:space="preserve">Look-alike of AC-2201</t>
  </si>
  <si>
    <t xml:space="preserve">AC-2220</t>
  </si>
  <si>
    <t xml:space="preserve">HDMI Cable 2m 4K</t>
  </si>
  <si>
    <t xml:space="preserve">AC-2301</t>
  </si>
  <si>
    <t xml:space="preserve">Phone Case Silicone - Universal 6.1in</t>
  </si>
  <si>
    <t xml:space="preserve">3926.90</t>
  </si>
  <si>
    <t xml:space="preserve">Turkey</t>
  </si>
  <si>
    <t xml:space="preserve">SUP-004</t>
  </si>
  <si>
    <t xml:space="preserve">AC-2310</t>
  </si>
  <si>
    <t xml:space="preserve">Tempered Glass Screen Protector 6.1in</t>
  </si>
  <si>
    <t xml:space="preserve">7007.19</t>
  </si>
  <si>
    <t xml:space="preserve">AC-2401</t>
  </si>
  <si>
    <t xml:space="preserve">Laptop Sleeve 15in Neoprene</t>
  </si>
  <si>
    <t xml:space="preserve">4202.92</t>
  </si>
  <si>
    <t xml:space="preserve">AC-2410</t>
  </si>
  <si>
    <t xml:space="preserve">Travel Backpack 25L</t>
  </si>
  <si>
    <t xml:space="preserve">AC-2501</t>
  </si>
  <si>
    <t xml:space="preserve">Car Phone Holder - Vent Mount</t>
  </si>
  <si>
    <t xml:space="preserve">AC-2510</t>
  </si>
  <si>
    <t xml:space="preserve">Universal Travel Adapter</t>
  </si>
  <si>
    <t xml:space="preserve">8536.69</t>
  </si>
  <si>
    <t xml:space="preserve">AC-2601</t>
  </si>
  <si>
    <t xml:space="preserve">Leather Bifold Wallet</t>
  </si>
  <si>
    <t xml:space="preserve">4202.31</t>
  </si>
  <si>
    <t xml:space="preserve">AC-2610</t>
  </si>
  <si>
    <t xml:space="preserve">Canvas Tote Bag</t>
  </si>
  <si>
    <t xml:space="preserve">4202.22</t>
  </si>
  <si>
    <t xml:space="preserve">AC-2701</t>
  </si>
  <si>
    <t xml:space="preserve">Sunglasses Polarised Unisex</t>
  </si>
  <si>
    <t xml:space="preserve">9004.10</t>
  </si>
  <si>
    <t xml:space="preserve">AC-2710</t>
  </si>
  <si>
    <t xml:space="preserve">Watch Strap Silicone 22mm</t>
  </si>
  <si>
    <t xml:space="preserve">9113.90</t>
  </si>
  <si>
    <t xml:space="preserve">AC-2801</t>
  </si>
  <si>
    <t xml:space="preserve">Metal Keychain</t>
  </si>
  <si>
    <t xml:space="preserve">7117.19</t>
  </si>
  <si>
    <t xml:space="preserve">AC-2810</t>
  </si>
  <si>
    <t xml:space="preserve">Earbud Carry Case</t>
  </si>
  <si>
    <t xml:space="preserve">HH-5101</t>
  </si>
  <si>
    <t xml:space="preserve">Non-Stick Frying Pan 28cm</t>
  </si>
  <si>
    <t xml:space="preserve">Household</t>
  </si>
  <si>
    <t xml:space="preserve">7323.99</t>
  </si>
  <si>
    <t xml:space="preserve">SUP-002</t>
  </si>
  <si>
    <t xml:space="preserve">HH-5102</t>
  </si>
  <si>
    <t xml:space="preserve">Stainless Steel Cookware Set 5pc</t>
  </si>
  <si>
    <t xml:space="preserve">SET</t>
  </si>
  <si>
    <t xml:space="preserve">7323.93</t>
  </si>
  <si>
    <t xml:space="preserve">HH-5110</t>
  </si>
  <si>
    <t xml:space="preserve">Kitchen Knife Set 6pc with Block</t>
  </si>
  <si>
    <t xml:space="preserve">8211.91</t>
  </si>
  <si>
    <t xml:space="preserve">Germany</t>
  </si>
  <si>
    <t xml:space="preserve">SUP-008</t>
  </si>
  <si>
    <t xml:space="preserve">HH-5120</t>
  </si>
  <si>
    <t xml:space="preserve">Bamboo Chopping Board Large</t>
  </si>
  <si>
    <t xml:space="preserve">4419.90</t>
  </si>
  <si>
    <t xml:space="preserve">HH-5201</t>
  </si>
  <si>
    <t xml:space="preserve">Glass Food Container Set 3pc</t>
  </si>
  <si>
    <t xml:space="preserve">7013.49</t>
  </si>
  <si>
    <t xml:space="preserve">HH-5210</t>
  </si>
  <si>
    <t xml:space="preserve">Plastic Storage Box 20L</t>
  </si>
  <si>
    <t xml:space="preserve">3924.90</t>
  </si>
  <si>
    <t xml:space="preserve">HH-5220</t>
  </si>
  <si>
    <t xml:space="preserve">Laundry Basket 45L</t>
  </si>
  <si>
    <t xml:space="preserve">HH-5301</t>
  </si>
  <si>
    <t xml:space="preserve">Cotton Bath Towel 70x140cm</t>
  </si>
  <si>
    <t xml:space="preserve">6302.60</t>
  </si>
  <si>
    <t xml:space="preserve">HH-5310</t>
  </si>
  <si>
    <t xml:space="preserve">Microfibre Cleaning Cloth 10-pack</t>
  </si>
  <si>
    <t xml:space="preserve">PACK</t>
  </si>
  <si>
    <t xml:space="preserve">6307.10</t>
  </si>
  <si>
    <t xml:space="preserve">HH-5401</t>
  </si>
  <si>
    <t xml:space="preserve">Ceramic Dinner Plate Set 6pc</t>
  </si>
  <si>
    <t xml:space="preserve">6911.10</t>
  </si>
  <si>
    <t xml:space="preserve">HH-5501</t>
  </si>
  <si>
    <t xml:space="preserve">Electric Kettle 1.7L Stainless</t>
  </si>
  <si>
    <t xml:space="preserve">8516.71</t>
  </si>
  <si>
    <t xml:space="preserve">HH-5510</t>
  </si>
  <si>
    <t xml:space="preserve">Steam Iron 2400W</t>
  </si>
  <si>
    <t xml:space="preserve">8516.40</t>
  </si>
  <si>
    <t xml:space="preserve">HH-5601</t>
  </si>
  <si>
    <t xml:space="preserve">Vacuum Flask 1L</t>
  </si>
  <si>
    <t xml:space="preserve">9617.00</t>
  </si>
  <si>
    <t xml:space="preserve">HH-5701</t>
  </si>
  <si>
    <t xml:space="preserve">Bedsheet Set Queen Cotton</t>
  </si>
  <si>
    <t xml:space="preserve">6302.31</t>
  </si>
  <si>
    <t xml:space="preserve">HH-5710</t>
  </si>
  <si>
    <t xml:space="preserve">Clothes Hangers 20-pack</t>
  </si>
  <si>
    <t xml:space="preserve">HH-5520</t>
  </si>
  <si>
    <t xml:space="preserve">Hand Blender 600W</t>
  </si>
  <si>
    <t xml:space="preserve">8509.40</t>
  </si>
  <si>
    <t xml:space="preserve">CG-3005</t>
  </si>
  <si>
    <t xml:space="preserve">Stainless Steel Water Bottle 750ml</t>
  </si>
  <si>
    <t xml:space="preserve">Consumer Goods</t>
  </si>
  <si>
    <t xml:space="preserve">India</t>
  </si>
  <si>
    <t xml:space="preserve">SUP-003</t>
  </si>
  <si>
    <t xml:space="preserve">Look-alike of CG-3006; target of CG-3O05 typo</t>
  </si>
  <si>
    <t xml:space="preserve">CG-3006</t>
  </si>
  <si>
    <t xml:space="preserve">Stainless Steel Water Bottle 500ml</t>
  </si>
  <si>
    <t xml:space="preserve">Look-alike of CG-3005</t>
  </si>
  <si>
    <t xml:space="preserve">CG-3101</t>
  </si>
  <si>
    <t xml:space="preserve">Yoga Mat 6mm</t>
  </si>
  <si>
    <t xml:space="preserve">9506.91</t>
  </si>
  <si>
    <t xml:space="preserve">CG-3102</t>
  </si>
  <si>
    <t xml:space="preserve">Dumbbell Pair 5kg</t>
  </si>
  <si>
    <t xml:space="preserve">CG-3201</t>
  </si>
  <si>
    <t xml:space="preserve">Toothbrush Soft 4-pack</t>
  </si>
  <si>
    <t xml:space="preserve">9603.21</t>
  </si>
  <si>
    <t xml:space="preserve">CG-3210</t>
  </si>
  <si>
    <t xml:space="preserve">Hair Dryer 1800W</t>
  </si>
  <si>
    <t xml:space="preserve">8516.31</t>
  </si>
  <si>
    <t xml:space="preserve">CG-3301</t>
  </si>
  <si>
    <t xml:space="preserve">Eau de Parfum 100ml</t>
  </si>
  <si>
    <t xml:space="preserve">3303.00</t>
  </si>
  <si>
    <t xml:space="preserve">CG-3310</t>
  </si>
  <si>
    <t xml:space="preserve">Hand Cream 75ml</t>
  </si>
  <si>
    <t xml:space="preserve">3304.99</t>
  </si>
  <si>
    <t xml:space="preserve">CG-3320</t>
  </si>
  <si>
    <t xml:space="preserve">Sunscreen SPF50 100ml</t>
  </si>
  <si>
    <t xml:space="preserve">CG-3330</t>
  </si>
  <si>
    <t xml:space="preserve">Shampoo 400ml</t>
  </si>
  <si>
    <t xml:space="preserve">3305.10</t>
  </si>
  <si>
    <t xml:space="preserve">CG-3401</t>
  </si>
  <si>
    <t xml:space="preserve">Compact Umbrella</t>
  </si>
  <si>
    <t xml:space="preserve">6601.91</t>
  </si>
  <si>
    <t xml:space="preserve">CG-3501</t>
  </si>
  <si>
    <t xml:space="preserve">A5 Notebook Ruled 200p</t>
  </si>
  <si>
    <t xml:space="preserve">4820.10</t>
  </si>
  <si>
    <t xml:space="preserve">CG-3510</t>
  </si>
  <si>
    <t xml:space="preserve">Ballpoint Pens Blue 10-pack</t>
  </si>
  <si>
    <t xml:space="preserve">9608.10</t>
  </si>
  <si>
    <t xml:space="preserve">CG-3601</t>
  </si>
  <si>
    <t xml:space="preserve">Family Board Game</t>
  </si>
  <si>
    <t xml:space="preserve">9504.90</t>
  </si>
  <si>
    <t xml:space="preserve">CG-3610</t>
  </si>
  <si>
    <t xml:space="preserve">Plush Toy Camel 30cm</t>
  </si>
  <si>
    <t xml:space="preserve">9503.00</t>
  </si>
  <si>
    <t xml:space="preserve">CG-3620</t>
  </si>
  <si>
    <t xml:space="preserve">Kids School Backpack</t>
  </si>
  <si>
    <t xml:space="preserve">PK-6001</t>
  </si>
  <si>
    <t xml:space="preserve">Arabica Coffee Beans 1kg</t>
  </si>
  <si>
    <t xml:space="preserve">Packaged Goods</t>
  </si>
  <si>
    <t xml:space="preserve">0901.21</t>
  </si>
  <si>
    <t xml:space="preserve">Vietnam</t>
  </si>
  <si>
    <t xml:space="preserve">SUP-005</t>
  </si>
  <si>
    <t xml:space="preserve">PK-6010</t>
  </si>
  <si>
    <t xml:space="preserve">Green Tea Bags 100ct</t>
  </si>
  <si>
    <t xml:space="preserve">0902.10</t>
  </si>
  <si>
    <t xml:space="preserve">PK-6020</t>
  </si>
  <si>
    <t xml:space="preserve">Instant Noodles Carton 30x85g</t>
  </si>
  <si>
    <t xml:space="preserve">CTN</t>
  </si>
  <si>
    <t xml:space="preserve">1902.30</t>
  </si>
  <si>
    <t xml:space="preserve">PK-6030</t>
  </si>
  <si>
    <t xml:space="preserve">Roasted Cashews 500g</t>
  </si>
  <si>
    <t xml:space="preserve">0801.32</t>
  </si>
  <si>
    <t xml:space="preserve">PK-6040</t>
  </si>
  <si>
    <t xml:space="preserve">Rice Crackers 150g</t>
  </si>
  <si>
    <t xml:space="preserve">1905.90</t>
  </si>
  <si>
    <t xml:space="preserve">PK-6101</t>
  </si>
  <si>
    <t xml:space="preserve">Basmati Rice 5kg</t>
  </si>
  <si>
    <t xml:space="preserve">1006.30</t>
  </si>
  <si>
    <t xml:space="preserve">SUP-007</t>
  </si>
  <si>
    <t xml:space="preserve">PK-6201</t>
  </si>
  <si>
    <t xml:space="preserve">Medjool Dates 1kg</t>
  </si>
  <si>
    <t xml:space="preserve">0804.10</t>
  </si>
  <si>
    <t xml:space="preserve">UAE</t>
  </si>
  <si>
    <t xml:space="preserve">PK-6301</t>
  </si>
  <si>
    <t xml:space="preserve">Extra Virgin Olive Oil 1L</t>
  </si>
  <si>
    <t xml:space="preserve">1509.20</t>
  </si>
  <si>
    <t xml:space="preserve">Spain</t>
  </si>
  <si>
    <t xml:space="preserve">PK-6310</t>
  </si>
  <si>
    <t xml:space="preserve">Durum Wheat Pasta 500g</t>
  </si>
  <si>
    <t xml:space="preserve">1902.19</t>
  </si>
  <si>
    <t xml:space="preserve">Italy</t>
  </si>
  <si>
    <t xml:space="preserve">PK-6401</t>
  </si>
  <si>
    <t xml:space="preserve">Milk Chocolate Bar Box 24x45g</t>
  </si>
  <si>
    <t xml:space="preserve">1806.32</t>
  </si>
  <si>
    <t xml:space="preserve">PK-6501</t>
  </si>
  <si>
    <t xml:space="preserve">Bottled Water 24x500ml</t>
  </si>
  <si>
    <t xml:space="preserve">2201.10</t>
  </si>
  <si>
    <t xml:space="preserve">PK-6510</t>
  </si>
  <si>
    <t xml:space="preserve">Energy Drink 24x250ml</t>
  </si>
  <si>
    <t xml:space="preserve">2202.99</t>
  </si>
  <si>
    <t xml:space="preserve">PK-6601</t>
  </si>
  <si>
    <t xml:space="preserve">Natural Honey 500g</t>
  </si>
  <si>
    <t xml:space="preserve">0409.00</t>
  </si>
  <si>
    <t xml:space="preserve">PK-6610</t>
  </si>
  <si>
    <t xml:space="preserve">Assorted Biscuits Tin 400g</t>
  </si>
  <si>
    <t xml:space="preserve">1905.31</t>
  </si>
  <si>
    <t xml:space="preserve">PK-6701</t>
  </si>
  <si>
    <t xml:space="preserve">Canned Tuna 185g</t>
  </si>
  <si>
    <t xml:space="preserve">1604.14</t>
  </si>
  <si>
    <t xml:space="preserve">PK-6710</t>
  </si>
  <si>
    <t xml:space="preserve">Tomato Paste 400g</t>
  </si>
  <si>
    <t xml:space="preserve">2002.90</t>
  </si>
  <si>
    <t xml:space="preserve">STEP 2a – Table A: Inbound Emails (30 shipments, 1–14 Sep 2026)</t>
  </si>
  <si>
    <t xml:space="preserve">One email per shipment. 'Destination' is an illustrative Dubai DC, not an actual Transworld site. Email addresses use the reserved .example domain.</t>
  </si>
  <si>
    <t xml:space="preserve">Email_ID</t>
  </si>
  <si>
    <t xml:space="preserve">Shipment_ID</t>
  </si>
  <si>
    <t xml:space="preserve">Received (date &amp; time)</t>
  </si>
  <si>
    <t xml:space="preserve">From</t>
  </si>
  <si>
    <t xml:space="preserve">Subject</t>
  </si>
  <si>
    <t xml:space="preserve">Origin_Country</t>
  </si>
  <si>
    <t xml:space="preserve">Destination</t>
  </si>
  <si>
    <t xml:space="preserve">PO_Number</t>
  </si>
  <si>
    <t xml:space="preserve">Attachments_Mentioned</t>
  </si>
  <si>
    <t xml:space="preserve">Attachments_Received</t>
  </si>
  <si>
    <t xml:space="preserve">Scenario (test design)</t>
  </si>
  <si>
    <t xml:space="preserve">SYN-EM-001</t>
  </si>
  <si>
    <t xml:space="preserve">SYN-SH-001</t>
  </si>
  <si>
    <t xml:space="preserve">2026-09-01 15:03</t>
  </si>
  <si>
    <t xml:space="preserve">shipping@brightlink.example</t>
  </si>
  <si>
    <t xml:space="preserve">FW: Shipping documents PO-SYN-7103</t>
  </si>
  <si>
    <t xml:space="preserve">Illustrative DC – Dubai, UAE</t>
  </si>
  <si>
    <t xml:space="preserve">PO-SYN-7103</t>
  </si>
  <si>
    <t xml:space="preserve">Clean – Test Case A</t>
  </si>
  <si>
    <t xml:space="preserve">SYN-EM-002</t>
  </si>
  <si>
    <t xml:space="preserve">SYN-SH-002</t>
  </si>
  <si>
    <t xml:space="preserve">2026-09-01 14:18</t>
  </si>
  <si>
    <t xml:space="preserve">shipping@crestline.example</t>
  </si>
  <si>
    <t xml:space="preserve">Docs attached – PO-SYN-7106 – ETA Dubai</t>
  </si>
  <si>
    <t xml:space="preserve">PO-SYN-7106</t>
  </si>
  <si>
    <t xml:space="preserve">Clean</t>
  </si>
  <si>
    <t xml:space="preserve">SYN-EM-003</t>
  </si>
  <si>
    <t xml:space="preserve">SYN-SH-003</t>
  </si>
  <si>
    <t xml:space="preserve">2026-09-01 09:47</t>
  </si>
  <si>
    <t xml:space="preserve">shipping@voltix.example</t>
  </si>
  <si>
    <t xml:space="preserve">ASN / Packing list &amp; invoice for PO PO-SYN-7109</t>
  </si>
  <si>
    <t xml:space="preserve">PO-SYN-7109</t>
  </si>
  <si>
    <t xml:space="preserve">Clean; UOM 'Pieces' (Case 6)</t>
  </si>
  <si>
    <t xml:space="preserve">SYN-EM-004</t>
  </si>
  <si>
    <t xml:space="preserve">SYN-SH-004</t>
  </si>
  <si>
    <t xml:space="preserve">2026-09-02 16:45</t>
  </si>
  <si>
    <t xml:space="preserve">FW: Shipping documents PO-SYN-7112</t>
  </si>
  <si>
    <t xml:space="preserve">PO-SYN-7112</t>
  </si>
  <si>
    <t xml:space="preserve">Description variation (Case 2)</t>
  </si>
  <si>
    <t xml:space="preserve">SYN-EM-005</t>
  </si>
  <si>
    <t xml:space="preserve">SYN-SH-005</t>
  </si>
  <si>
    <t xml:space="preserve">2026-09-02 09:02</t>
  </si>
  <si>
    <t xml:space="preserve">shipping@desertpalm.example</t>
  </si>
  <si>
    <t xml:space="preserve">Docs attached – PO-SYN-7115 – ETA Dubai</t>
  </si>
  <si>
    <t xml:space="preserve">PO-SYN-7115</t>
  </si>
  <si>
    <t xml:space="preserve">SYN-EM-006</t>
  </si>
  <si>
    <t xml:space="preserve">SYN-SH-006</t>
  </si>
  <si>
    <t xml:space="preserve">2026-09-02 13:22</t>
  </si>
  <si>
    <t xml:space="preserve">RE: Dispatch confirmation PO PO-SYN-7118</t>
  </si>
  <si>
    <t xml:space="preserve">PO-SYN-7118</t>
  </si>
  <si>
    <t xml:space="preserve">SYN-EM-007</t>
  </si>
  <si>
    <t xml:space="preserve">SYN-SH-007</t>
  </si>
  <si>
    <t xml:space="preserve">2026-09-03 08:14</t>
  </si>
  <si>
    <t xml:space="preserve">shipping@greenleaf.example</t>
  </si>
  <si>
    <t xml:space="preserve">RE: Dispatch confirmation PO PO-SYN-7121</t>
  </si>
  <si>
    <t xml:space="preserve">PO-SYN-7121</t>
  </si>
  <si>
    <t xml:space="preserve">Clean (scan quality issue)</t>
  </si>
  <si>
    <t xml:space="preserve">SYN-EM-008</t>
  </si>
  <si>
    <t xml:space="preserve">SYN-SH-008</t>
  </si>
  <si>
    <t xml:space="preserve">2026-09-03 13:22</t>
  </si>
  <si>
    <t xml:space="preserve">FW: Shipping documents PO-SYN-7124</t>
  </si>
  <si>
    <t xml:space="preserve">PO-SYN-7124</t>
  </si>
  <si>
    <t xml:space="preserve">New SKU – Test Case B (Case 3)</t>
  </si>
  <si>
    <t xml:space="preserve">SYN-EM-009</t>
  </si>
  <si>
    <t xml:space="preserve">SYN-SH-009</t>
  </si>
  <si>
    <t xml:space="preserve">2026-09-03 11:05</t>
  </si>
  <si>
    <t xml:space="preserve">Docs attached – PO-SYN-7127 – ETA Dubai</t>
  </si>
  <si>
    <t xml:space="preserve">PO-SYN-7127</t>
  </si>
  <si>
    <t xml:space="preserve">Description variation; UOM 'Pc' (Cases 2,6)</t>
  </si>
  <si>
    <t xml:space="preserve">SYN-EM-010</t>
  </si>
  <si>
    <t xml:space="preserve">SYN-SH-010</t>
  </si>
  <si>
    <t xml:space="preserve">2026-09-04 16:45</t>
  </si>
  <si>
    <t xml:space="preserve">shipping@everhome.example</t>
  </si>
  <si>
    <t xml:space="preserve">Docs attached – PO-SYN-7130 – ETA Dubai</t>
  </si>
  <si>
    <t xml:space="preserve">PO-SYN-7130</t>
  </si>
  <si>
    <t xml:space="preserve">SYN-EM-011</t>
  </si>
  <si>
    <t xml:space="preserve">SYN-SH-011</t>
  </si>
  <si>
    <t xml:space="preserve">ASN / Packing list &amp; invoice for PO PO-SYN-7133</t>
  </si>
  <si>
    <t xml:space="preserve">PO-SYN-7133</t>
  </si>
  <si>
    <t xml:space="preserve">Ambiguous SKU – Test Case C (Case 4)</t>
  </si>
  <si>
    <t xml:space="preserve">SYN-EM-012</t>
  </si>
  <si>
    <t xml:space="preserve">SYN-SH-012</t>
  </si>
  <si>
    <t xml:space="preserve">2026-09-04 08:14</t>
  </si>
  <si>
    <t xml:space="preserve">shipping@anka.example</t>
  </si>
  <si>
    <t xml:space="preserve">Docs attached – PO-SYN-7136 – ETA Dubai</t>
  </si>
  <si>
    <t xml:space="preserve">PO-SYN-7136</t>
  </si>
  <si>
    <t xml:space="preserve">Clean (scanned COO)</t>
  </si>
  <si>
    <t xml:space="preserve">SYN-EM-013</t>
  </si>
  <si>
    <t xml:space="preserve">SYN-SH-013</t>
  </si>
  <si>
    <t xml:space="preserve">2026-09-07 11:05</t>
  </si>
  <si>
    <t xml:space="preserve">ASN / Packing list &amp; invoice for PO PO-SYN-7139</t>
  </si>
  <si>
    <t xml:space="preserve">PO-SYN-7139</t>
  </si>
  <si>
    <t xml:space="preserve">Missing quantity – Test Case D (Case 5)</t>
  </si>
  <si>
    <t xml:space="preserve">SYN-EM-014</t>
  </si>
  <si>
    <t xml:space="preserve">SYN-SH-014</t>
  </si>
  <si>
    <t xml:space="preserve">2026-09-07 10:31</t>
  </si>
  <si>
    <t xml:space="preserve">ASN / Packing list &amp; invoice for PO PO-SYN-7142</t>
  </si>
  <si>
    <t xml:space="preserve">PO-SYN-7142</t>
  </si>
  <si>
    <t xml:space="preserve">SKU typo resolvable (Case 7); UOM 'pcs'</t>
  </si>
  <si>
    <t xml:space="preserve">SYN-EM-015</t>
  </si>
  <si>
    <t xml:space="preserve">SYN-SH-015</t>
  </si>
  <si>
    <t xml:space="preserve">2026-09-07 09:47</t>
  </si>
  <si>
    <t xml:space="preserve">shipping@nordkap.example</t>
  </si>
  <si>
    <t xml:space="preserve">RE: Dispatch confirmation PO PO-SYN-7145</t>
  </si>
  <si>
    <t xml:space="preserve">PO-SYN-7145</t>
  </si>
  <si>
    <t xml:space="preserve">Clean (irrelevant attachment in email)</t>
  </si>
  <si>
    <t xml:space="preserve">SYN-EM-016</t>
  </si>
  <si>
    <t xml:space="preserve">SYN-SH-016</t>
  </si>
  <si>
    <t xml:space="preserve">2026-09-08 16:45</t>
  </si>
  <si>
    <t xml:space="preserve">Shipment docs – PO PO-SYN-7148</t>
  </si>
  <si>
    <t xml:space="preserve">PO-SYN-7148</t>
  </si>
  <si>
    <t xml:space="preserve">Missing Commercial Invoice (Case 8)</t>
  </si>
  <si>
    <t xml:space="preserve">SYN-EM-017</t>
  </si>
  <si>
    <t xml:space="preserve">SYN-SH-017</t>
  </si>
  <si>
    <t xml:space="preserve">2026-09-08 12:40</t>
  </si>
  <si>
    <t xml:space="preserve">FW: Shipping documents PO-SYN-7151</t>
  </si>
  <si>
    <t xml:space="preserve">PO-SYN-7151</t>
  </si>
  <si>
    <t xml:space="preserve">New SKU (Case 3)</t>
  </si>
  <si>
    <t xml:space="preserve">SYN-EM-018</t>
  </si>
  <si>
    <t xml:space="preserve">SYN-SH-018</t>
  </si>
  <si>
    <t xml:space="preserve">2026-09-08 14:18</t>
  </si>
  <si>
    <t xml:space="preserve">FW: Shipping documents PO-SYN-7154</t>
  </si>
  <si>
    <t xml:space="preserve">PO-SYN-7154</t>
  </si>
  <si>
    <t xml:space="preserve">Country-of-origin conflict (Case 10)</t>
  </si>
  <si>
    <t xml:space="preserve">SYN-EM-019</t>
  </si>
  <si>
    <t xml:space="preserve">SYN-SH-019</t>
  </si>
  <si>
    <t xml:space="preserve">2026-09-09 09:02</t>
  </si>
  <si>
    <t xml:space="preserve">ASN / Packing list &amp; invoice for PO PO-SYN-7157</t>
  </si>
  <si>
    <t xml:space="preserve">PO-SYN-7157</t>
  </si>
  <si>
    <t xml:space="preserve">Ambiguous SKU typo + vague description (Cases 4,7)</t>
  </si>
  <si>
    <t xml:space="preserve">SYN-EM-020</t>
  </si>
  <si>
    <t xml:space="preserve">SYN-SH-020</t>
  </si>
  <si>
    <t xml:space="preserve">2026-09-09 12:40</t>
  </si>
  <si>
    <t xml:space="preserve">RE: Dispatch confirmation PO PO-SYN-7160</t>
  </si>
  <si>
    <t xml:space="preserve">PO-SYN-7160</t>
  </si>
  <si>
    <t xml:space="preserve">Duplicate line item (Case 9)</t>
  </si>
  <si>
    <t xml:space="preserve">SYN-EM-021</t>
  </si>
  <si>
    <t xml:space="preserve">SYN-SH-021</t>
  </si>
  <si>
    <t xml:space="preserve">Docs attached – PO-SYN-7163 – ETA Dubai</t>
  </si>
  <si>
    <t xml:space="preserve">PO-SYN-7163</t>
  </si>
  <si>
    <t xml:space="preserve">Ambiguous cable SKU (Case 4)</t>
  </si>
  <si>
    <t xml:space="preserve">SYN-EM-022</t>
  </si>
  <si>
    <t xml:space="preserve">SYN-SH-022</t>
  </si>
  <si>
    <t xml:space="preserve">2026-09-10 14:18</t>
  </si>
  <si>
    <t xml:space="preserve">RE: Dispatch confirmation PO PO-SYN-7166</t>
  </si>
  <si>
    <t xml:space="preserve">PO-SYN-7166</t>
  </si>
  <si>
    <t xml:space="preserve">New SKU resembling existing (Case 3)</t>
  </si>
  <si>
    <t xml:space="preserve">SYN-EM-023</t>
  </si>
  <si>
    <t xml:space="preserve">SYN-SH-023</t>
  </si>
  <si>
    <t xml:space="preserve">2026-09-10 11:05</t>
  </si>
  <si>
    <t xml:space="preserve">Docs attached – PO-SYN-7169 – ETA Dubai</t>
  </si>
  <si>
    <t xml:space="preserve">PO-SYN-7169</t>
  </si>
  <si>
    <t xml:space="preserve">Quantity conflict PL vs CI – Test Case E (Case 10)</t>
  </si>
  <si>
    <t xml:space="preserve">SYN-EM-024</t>
  </si>
  <si>
    <t xml:space="preserve">SYN-SH-024</t>
  </si>
  <si>
    <t xml:space="preserve">2026-09-10 12:40</t>
  </si>
  <si>
    <t xml:space="preserve">Docs attached – PO-SYN-7172 – ETA Dubai</t>
  </si>
  <si>
    <t xml:space="preserve">PO-SYN-7172</t>
  </si>
  <si>
    <t xml:space="preserve">New SKU; UOM 'Nos'/'Ctns' (Cases 3,6)</t>
  </si>
  <si>
    <t xml:space="preserve">SYN-EM-025</t>
  </si>
  <si>
    <t xml:space="preserve">SYN-SH-025</t>
  </si>
  <si>
    <t xml:space="preserve">2026-09-11 14:18</t>
  </si>
  <si>
    <t xml:space="preserve">RE: Dispatch confirmation PO PO-SYN-7175</t>
  </si>
  <si>
    <t xml:space="preserve">PO-SYN-7175</t>
  </si>
  <si>
    <t xml:space="preserve">Gross weight mismatch PL vs CI (Case 10)</t>
  </si>
  <si>
    <t xml:space="preserve">SYN-EM-026</t>
  </si>
  <si>
    <t xml:space="preserve">SYN-SH-026</t>
  </si>
  <si>
    <t xml:space="preserve">2026-09-11 11:05</t>
  </si>
  <si>
    <t xml:space="preserve">FW: Shipping documents PO-SYN-7178</t>
  </si>
  <si>
    <t xml:space="preserve">PO-SYN-7178</t>
  </si>
  <si>
    <t xml:space="preserve">SYN-EM-027</t>
  </si>
  <si>
    <t xml:space="preserve">SYN-SH-027</t>
  </si>
  <si>
    <t xml:space="preserve">Docs attached – PO-SYN-7181 – ETA Dubai</t>
  </si>
  <si>
    <t xml:space="preserve">PO-SYN-7181</t>
  </si>
  <si>
    <t xml:space="preserve">SYN-EM-028</t>
  </si>
  <si>
    <t xml:space="preserve">SYN-SH-028</t>
  </si>
  <si>
    <t xml:space="preserve">2026-09-14 11:05</t>
  </si>
  <si>
    <t xml:space="preserve">Docs attached – PO-SYN-7184 – ETA Dubai</t>
  </si>
  <si>
    <t xml:space="preserve">PO-SYN-7184</t>
  </si>
  <si>
    <t xml:space="preserve">SYN-EM-029</t>
  </si>
  <si>
    <t xml:space="preserve">SYN-SH-029</t>
  </si>
  <si>
    <t xml:space="preserve">2026-09-14 14:18</t>
  </si>
  <si>
    <t xml:space="preserve">RE: Dispatch confirmation PO PO-SYN-7187</t>
  </si>
  <si>
    <t xml:space="preserve">PO-SYN-7187</t>
  </si>
  <si>
    <t xml:space="preserve">SYN-EM-030</t>
  </si>
  <si>
    <t xml:space="preserve">SYN-SH-030</t>
  </si>
  <si>
    <t xml:space="preserve">FW: Shipping documents PO-SYN-7190</t>
  </si>
  <si>
    <t xml:space="preserve">PO-SYN-7190</t>
  </si>
  <si>
    <t xml:space="preserve">STEP 2b – Table B: Documents / Attachments (79) with classification ground truth</t>
  </si>
  <si>
    <t xml:space="preserve">Doc_ID</t>
  </si>
  <si>
    <t xml:space="preserve">File_Name (as received)</t>
  </si>
  <si>
    <t xml:space="preserve">Pages</t>
  </si>
  <si>
    <t xml:space="preserve">Doc_Total_Gross_Weight (kg)</t>
  </si>
  <si>
    <t xml:space="preserve">GT_Document_Type</t>
  </si>
  <si>
    <t xml:space="preserve">GT_Relevant</t>
  </si>
  <si>
    <t xml:space="preserve">GT_Completeness</t>
  </si>
  <si>
    <t xml:space="preserve">AI_Document_Type</t>
  </si>
  <si>
    <t xml:space="preserve">AI_Class_Confidence</t>
  </si>
  <si>
    <t xml:space="preserve">AI_Action</t>
  </si>
  <si>
    <t xml:space="preserve">Classification_Correct (1/0)</t>
  </si>
  <si>
    <t xml:space="preserve">SYN-PL-001</t>
  </si>
  <si>
    <t xml:space="preserve">Packing_List_4401.pdf</t>
  </si>
  <si>
    <t xml:space="preserve">Packing List</t>
  </si>
  <si>
    <t xml:space="preserve">Yes</t>
  </si>
  <si>
    <t xml:space="preserve">Complete</t>
  </si>
  <si>
    <t xml:space="preserve">SYN-CI-001</t>
  </si>
  <si>
    <t xml:space="preserve">CI 7701.pdf</t>
  </si>
  <si>
    <t xml:space="preserve">Commercial Invoice</t>
  </si>
  <si>
    <t xml:space="preserve">SYN-COO-001</t>
  </si>
  <si>
    <t xml:space="preserve">Certificate_of_Origin_001.pdf</t>
  </si>
  <si>
    <t xml:space="preserve">Certificate of Origin</t>
  </si>
  <si>
    <t xml:space="preserve">SYN-PL-002</t>
  </si>
  <si>
    <t xml:space="preserve">Packing_List_4402.pdf</t>
  </si>
  <si>
    <t xml:space="preserve">SYN-CI-002</t>
  </si>
  <si>
    <t xml:space="preserve">Invoice_7702.pdf</t>
  </si>
  <si>
    <t xml:space="preserve">SYN-PL-003</t>
  </si>
  <si>
    <t xml:space="preserve">Packing_List_4403.pdf</t>
  </si>
  <si>
    <t xml:space="preserve">SYN-CI-003</t>
  </si>
  <si>
    <t xml:space="preserve">Invoice_7703.pdf</t>
  </si>
  <si>
    <t xml:space="preserve">SYN-PL-004</t>
  </si>
  <si>
    <t xml:space="preserve">Packing_List_4404.pdf</t>
  </si>
  <si>
    <t xml:space="preserve">SYN-CI-004</t>
  </si>
  <si>
    <t xml:space="preserve">Invoice_7704.pdf</t>
  </si>
  <si>
    <t xml:space="preserve">SYN-COO-004</t>
  </si>
  <si>
    <t xml:space="preserve">Certificate_of_Origin_004.pdf</t>
  </si>
  <si>
    <t xml:space="preserve">SYN-PL-005</t>
  </si>
  <si>
    <t xml:space="preserve">Packing_List_4405.pdf</t>
  </si>
  <si>
    <t xml:space="preserve">SYN-CI-005</t>
  </si>
  <si>
    <t xml:space="preserve">CI 7705.pdf</t>
  </si>
  <si>
    <t xml:space="preserve">SYN-BOE-005</t>
  </si>
  <si>
    <t xml:space="preserve">BOE_2026090005.pdf</t>
  </si>
  <si>
    <t xml:space="preserve">Bill of Entry</t>
  </si>
  <si>
    <t xml:space="preserve">SYN-OTH-005</t>
  </si>
  <si>
    <t xml:space="preserve">Company_Newsletter_Sep.pdf</t>
  </si>
  <si>
    <t xml:space="preserve">Not Relevant</t>
  </si>
  <si>
    <t xml:space="preserve">No</t>
  </si>
  <si>
    <t xml:space="preserve">n/a</t>
  </si>
  <si>
    <t xml:space="preserve">SYN-PL-006</t>
  </si>
  <si>
    <t xml:space="preserve">Packing_List_4406.pdf</t>
  </si>
  <si>
    <t xml:space="preserve">SYN-CI-006</t>
  </si>
  <si>
    <t xml:space="preserve">Commercial Invoice 7706.pdf</t>
  </si>
  <si>
    <t xml:space="preserve">SYN-PL-007</t>
  </si>
  <si>
    <t xml:space="preserve">PL-4407.pdf</t>
  </si>
  <si>
    <t xml:space="preserve">SYN-CI-007</t>
  </si>
  <si>
    <t xml:space="preserve">Invoice_7707.pdf</t>
  </si>
  <si>
    <t xml:space="preserve">SYN-COO-007</t>
  </si>
  <si>
    <t xml:space="preserve">Certificate_of_Origin_007.pdf</t>
  </si>
  <si>
    <t xml:space="preserve">SYN-PL-008</t>
  </si>
  <si>
    <t xml:space="preserve">Packing_List_4408.pdf</t>
  </si>
  <si>
    <t xml:space="preserve">SYN-CI-008</t>
  </si>
  <si>
    <t xml:space="preserve">CI 7708.pdf</t>
  </si>
  <si>
    <t xml:space="preserve">SYN-COO-008</t>
  </si>
  <si>
    <t xml:space="preserve">Certificate_of_Origin_008.pdf</t>
  </si>
  <si>
    <t xml:space="preserve">SYN-PL-009</t>
  </si>
  <si>
    <t xml:space="preserve">packinglist 4409.pdf</t>
  </si>
  <si>
    <t xml:space="preserve">SYN-CI-009</t>
  </si>
  <si>
    <t xml:space="preserve">CI 7709.pdf</t>
  </si>
  <si>
    <t xml:space="preserve">SYN-PL-010</t>
  </si>
  <si>
    <t xml:space="preserve">Packing_List_4410.pdf</t>
  </si>
  <si>
    <t xml:space="preserve">SYN-CI-010</t>
  </si>
  <si>
    <t xml:space="preserve">Commercial Invoice 7710.pdf</t>
  </si>
  <si>
    <t xml:space="preserve">SYN-BOE-010</t>
  </si>
  <si>
    <t xml:space="preserve">BOE_2026090010.pdf</t>
  </si>
  <si>
    <t xml:space="preserve">SYN-PL-011</t>
  </si>
  <si>
    <t xml:space="preserve">packinglist 4411.pdf</t>
  </si>
  <si>
    <t xml:space="preserve">SYN-CI-011</t>
  </si>
  <si>
    <t xml:space="preserve">CI 7711.pdf</t>
  </si>
  <si>
    <t xml:space="preserve">SYN-COO-011</t>
  </si>
  <si>
    <t xml:space="preserve">Certificate_of_Origin_011.pdf</t>
  </si>
  <si>
    <t xml:space="preserve">SYN-PL-012</t>
  </si>
  <si>
    <t xml:space="preserve">packinglist 4412.pdf</t>
  </si>
  <si>
    <t xml:space="preserve">SYN-CI-012</t>
  </si>
  <si>
    <t xml:space="preserve">Commercial Invoice 7712.pdf</t>
  </si>
  <si>
    <t xml:space="preserve">SYN-COO-012</t>
  </si>
  <si>
    <t xml:space="preserve">scan_0912.pdf</t>
  </si>
  <si>
    <t xml:space="preserve">SYN-PL-013</t>
  </si>
  <si>
    <t xml:space="preserve">packinglist 4413.pdf</t>
  </si>
  <si>
    <t xml:space="preserve">Incomplete – quantity blank on 1 line</t>
  </si>
  <si>
    <t xml:space="preserve">SYN-CI-013</t>
  </si>
  <si>
    <t xml:space="preserve">Commercial Invoice 7713.pdf</t>
  </si>
  <si>
    <t xml:space="preserve">SYN-PL-014</t>
  </si>
  <si>
    <t xml:space="preserve">Packing_List_4414.pdf</t>
  </si>
  <si>
    <t xml:space="preserve">SYN-CI-014</t>
  </si>
  <si>
    <t xml:space="preserve">Invoice_7714.pdf</t>
  </si>
  <si>
    <t xml:space="preserve">SYN-PL-015</t>
  </si>
  <si>
    <t xml:space="preserve">packinglist 4415.pdf</t>
  </si>
  <si>
    <t xml:space="preserve">SYN-CI-015</t>
  </si>
  <si>
    <t xml:space="preserve">Commercial Invoice 7715.pdf</t>
  </si>
  <si>
    <t xml:space="preserve">SYN-OTH-015</t>
  </si>
  <si>
    <t xml:space="preserve">Supplier_Price_List_Q4.pdf</t>
  </si>
  <si>
    <t xml:space="preserve">SYN-PL-016</t>
  </si>
  <si>
    <t xml:space="preserve">PL-4416.pdf</t>
  </si>
  <si>
    <t xml:space="preserve">SYN-PL-017</t>
  </si>
  <si>
    <t xml:space="preserve">Packing_List_4417.pdf</t>
  </si>
  <si>
    <t xml:space="preserve">SYN-CI-017</t>
  </si>
  <si>
    <t xml:space="preserve">Invoice_7717.pdf</t>
  </si>
  <si>
    <t xml:space="preserve">SYN-BOE-017</t>
  </si>
  <si>
    <t xml:space="preserve">BOE_2026090017.pdf</t>
  </si>
  <si>
    <t xml:space="preserve">SYN-PL-018</t>
  </si>
  <si>
    <t xml:space="preserve">Packing_List_4418.pdf</t>
  </si>
  <si>
    <t xml:space="preserve">SYN-CI-018</t>
  </si>
  <si>
    <t xml:space="preserve">Commercial Invoice 7718.pdf</t>
  </si>
  <si>
    <t xml:space="preserve">SYN-COO-018</t>
  </si>
  <si>
    <t xml:space="preserve">Certificate_of_Origin_018.pdf</t>
  </si>
  <si>
    <t xml:space="preserve">SYN-PL-019</t>
  </si>
  <si>
    <t xml:space="preserve">Packing_List_4419.pdf</t>
  </si>
  <si>
    <t xml:space="preserve">SYN-CI-019</t>
  </si>
  <si>
    <t xml:space="preserve">CI 7719.pdf</t>
  </si>
  <si>
    <t xml:space="preserve">SYN-PL-020</t>
  </si>
  <si>
    <t xml:space="preserve">PL-4420.pdf</t>
  </si>
  <si>
    <t xml:space="preserve">SYN-CI-020</t>
  </si>
  <si>
    <t xml:space="preserve">Invoice_7720.pdf</t>
  </si>
  <si>
    <t xml:space="preserve">SYN-OTH-020</t>
  </si>
  <si>
    <t xml:space="preserve">email_signature_logo.png</t>
  </si>
  <si>
    <t xml:space="preserve">SYN-PL-021</t>
  </si>
  <si>
    <t xml:space="preserve">PL-4421.pdf</t>
  </si>
  <si>
    <t xml:space="preserve">SYN-CI-021</t>
  </si>
  <si>
    <t xml:space="preserve">Commercial Invoice 7721.pdf</t>
  </si>
  <si>
    <t xml:space="preserve">SYN-BOE-021</t>
  </si>
  <si>
    <t xml:space="preserve">BOE_2026090021.pdf</t>
  </si>
  <si>
    <t xml:space="preserve">SYN-PL-022</t>
  </si>
  <si>
    <t xml:space="preserve">PL-4422.pdf</t>
  </si>
  <si>
    <t xml:space="preserve">SYN-CI-022</t>
  </si>
  <si>
    <t xml:space="preserve">CI 7722.pdf</t>
  </si>
  <si>
    <t xml:space="preserve">SYN-COO-022</t>
  </si>
  <si>
    <t xml:space="preserve">Certificate_of_Origin_022.pdf</t>
  </si>
  <si>
    <t xml:space="preserve">SYN-PL-023</t>
  </si>
  <si>
    <t xml:space="preserve">packinglist 4423.pdf</t>
  </si>
  <si>
    <t xml:space="preserve">SYN-CI-023</t>
  </si>
  <si>
    <t xml:space="preserve">Invoice_7723.pdf</t>
  </si>
  <si>
    <t xml:space="preserve">SYN-BOE-023</t>
  </si>
  <si>
    <t xml:space="preserve">BOE_2026090023.pdf</t>
  </si>
  <si>
    <t xml:space="preserve">SYN-PL-024</t>
  </si>
  <si>
    <t xml:space="preserve">packinglist 4424.pdf</t>
  </si>
  <si>
    <t xml:space="preserve">SYN-CI-024</t>
  </si>
  <si>
    <t xml:space="preserve">Commercial Invoice 7724.pdf</t>
  </si>
  <si>
    <t xml:space="preserve">SYN-PL-025</t>
  </si>
  <si>
    <t xml:space="preserve">Packing_List_4425.pdf</t>
  </si>
  <si>
    <t xml:space="preserve">SYN-CI-025</t>
  </si>
  <si>
    <t xml:space="preserve">Commercial Invoice 7725.pdf</t>
  </si>
  <si>
    <t xml:space="preserve">SYN-BOE-025</t>
  </si>
  <si>
    <t xml:space="preserve">BOE_2026090025.pdf</t>
  </si>
  <si>
    <t xml:space="preserve">SYN-PL-026</t>
  </si>
  <si>
    <t xml:space="preserve">packinglist 4426.pdf</t>
  </si>
  <si>
    <t xml:space="preserve">SYN-CI-026</t>
  </si>
  <si>
    <t xml:space="preserve">CI 7726.pdf</t>
  </si>
  <si>
    <t xml:space="preserve">SYN-COO-026</t>
  </si>
  <si>
    <t xml:space="preserve">Certificate_of_Origin_026.pdf</t>
  </si>
  <si>
    <t xml:space="preserve">SYN-PL-027</t>
  </si>
  <si>
    <t xml:space="preserve">PL-4427.pdf</t>
  </si>
  <si>
    <t xml:space="preserve">SYN-CI-027</t>
  </si>
  <si>
    <t xml:space="preserve">Invoice_7727.pdf</t>
  </si>
  <si>
    <t xml:space="preserve">SYN-PL-028</t>
  </si>
  <si>
    <t xml:space="preserve">packinglist 4428.pdf</t>
  </si>
  <si>
    <t xml:space="preserve">SYN-CI-028</t>
  </si>
  <si>
    <t xml:space="preserve">Commercial Invoice 7728.pdf</t>
  </si>
  <si>
    <t xml:space="preserve">SYN-BOE-028</t>
  </si>
  <si>
    <t xml:space="preserve">BOE_2026090028.pdf</t>
  </si>
  <si>
    <t xml:space="preserve">SYN-PL-029</t>
  </si>
  <si>
    <t xml:space="preserve">PL-4429.pdf</t>
  </si>
  <si>
    <t xml:space="preserve">SYN-CI-029</t>
  </si>
  <si>
    <t xml:space="preserve">Invoice_7729.pdf</t>
  </si>
  <si>
    <t xml:space="preserve">SYN-PL-030</t>
  </si>
  <si>
    <t xml:space="preserve">packinglist 4430.pdf</t>
  </si>
  <si>
    <t xml:space="preserve">SYN-CI-030</t>
  </si>
  <si>
    <t xml:space="preserve">Invoice_7730.pdf</t>
  </si>
  <si>
    <t xml:space="preserve">SYN-BOE-030</t>
  </si>
  <si>
    <t xml:space="preserve">BOE_2026090030.pdf</t>
  </si>
  <si>
    <t xml:space="preserve">STEP 2c – Table C: Document Line Items (103) with ground truth, simulated AI output and test result</t>
  </si>
  <si>
    <t xml:space="preserve">Extraction_Correct = 1 if SKU code, description, qty, UOM, HS code, origin and weight were all read exactly as printed (field-level check done during test). Blue = test input.</t>
  </si>
  <si>
    <t xml:space="preserve">Line_ID</t>
  </si>
  <si>
    <t xml:space="preserve">Source_Doc_ID</t>
  </si>
  <si>
    <t xml:space="preserve">Line_No</t>
  </si>
  <si>
    <t xml:space="preserve">SKU_ID_from_document</t>
  </si>
  <si>
    <t xml:space="preserve">Product_Description (as on document)</t>
  </si>
  <si>
    <t xml:space="preserve">Quantity</t>
  </si>
  <si>
    <t xml:space="preserve">UOM (as received)</t>
  </si>
  <si>
    <t xml:space="preserve">Weight (kg)</t>
  </si>
  <si>
    <t xml:space="preserve">Invoice_Quantity (cross-check)</t>
  </si>
  <si>
    <t xml:space="preserve">GT_SKU_Status</t>
  </si>
  <si>
    <t xml:space="preserve">GT_Matched_SKU</t>
  </si>
  <si>
    <t xml:space="preserve">GT_Normalised_UOM</t>
  </si>
  <si>
    <t xml:space="preserve">GT_Validation</t>
  </si>
  <si>
    <t xml:space="preserve">GT_Note</t>
  </si>
  <si>
    <t xml:space="preserve">AI_Extracted_Qty</t>
  </si>
  <si>
    <t xml:space="preserve">AI_SKU_Status</t>
  </si>
  <si>
    <t xml:space="preserve">AI_Matched_SKU</t>
  </si>
  <si>
    <t xml:space="preserve">AI_Normalised_UOM</t>
  </si>
  <si>
    <t xml:space="preserve">AI_Confidence</t>
  </si>
  <si>
    <t xml:space="preserve">AI_Validation</t>
  </si>
  <si>
    <t xml:space="preserve">AI_Route</t>
  </si>
  <si>
    <t xml:space="preserve">AI_Reasoning (plain English)</t>
  </si>
  <si>
    <t xml:space="preserve">SKU_Decision_Correct</t>
  </si>
  <si>
    <t xml:space="preserve">Validation_Correct</t>
  </si>
  <si>
    <t xml:space="preserve">UOM_Norm_Correct</t>
  </si>
  <si>
    <t xml:space="preserve">Extraction_Correct</t>
  </si>
  <si>
    <t xml:space="preserve">SYN-LN-001</t>
  </si>
  <si>
    <t xml:space="preserve">Valid</t>
  </si>
  <si>
    <t xml:space="preserve">Exact match</t>
  </si>
  <si>
    <t xml:space="preserve">Exact SKU code and description match</t>
  </si>
  <si>
    <t xml:space="preserve">SYN-LN-002</t>
  </si>
  <si>
    <t xml:space="preserve">SYN-LN-003</t>
  </si>
  <si>
    <t xml:space="preserve">SYN-LN-004</t>
  </si>
  <si>
    <t xml:space="preserve">SYN-LN-005</t>
  </si>
  <si>
    <t xml:space="preserve">SYN-LN-006</t>
  </si>
  <si>
    <t xml:space="preserve">SYN-LN-007</t>
  </si>
  <si>
    <t xml:space="preserve">SYN-LN-008</t>
  </si>
  <si>
    <t xml:space="preserve">Pieces</t>
  </si>
  <si>
    <t xml:space="preserve">Exact match; UOM 'Pieces' normalised to PCS</t>
  </si>
  <si>
    <t xml:space="preserve">Exact match; UOM normalised. NOTE: HS code mis-read as 8544.49 (not caught)</t>
  </si>
  <si>
    <t xml:space="preserve">SYN-LN-009</t>
  </si>
  <si>
    <t xml:space="preserve">Exact match; UOM 'Pieces'→PCS</t>
  </si>
  <si>
    <t xml:space="preserve">SYN-LN-010</t>
  </si>
  <si>
    <t xml:space="preserve">SYN-LN-011</t>
  </si>
  <si>
    <t xml:space="preserve">SYN-LN-012</t>
  </si>
  <si>
    <t xml:space="preserve">Wireless Earbuds TWS Blk</t>
  </si>
  <si>
    <t xml:space="preserve">Existing SKU; abbreviated description</t>
  </si>
  <si>
    <t xml:space="preserve">SKU code exact; description 88% similar (abbreviation) → Existing</t>
  </si>
  <si>
    <t xml:space="preserve">SYN-LN-013</t>
  </si>
  <si>
    <t xml:space="preserve">SYN-LN-014</t>
  </si>
  <si>
    <t xml:space="preserve">SYN-LN-015</t>
  </si>
  <si>
    <t xml:space="preserve">SYN-LN-016</t>
  </si>
  <si>
    <t xml:space="preserve">SYN-LN-017</t>
  </si>
  <si>
    <t xml:space="preserve">SYN-LN-018</t>
  </si>
  <si>
    <t xml:space="preserve">SYN-LN-019</t>
  </si>
  <si>
    <t xml:space="preserve">SYN-LN-020</t>
  </si>
  <si>
    <t xml:space="preserve">SYN-LN-021</t>
  </si>
  <si>
    <t xml:space="preserve">Conflict</t>
  </si>
  <si>
    <t xml:space="preserve">Extracted qty 120 (scan smudge) ≠ Invoice 1200 → flagged</t>
  </si>
  <si>
    <t xml:space="preserve">SYN-LN-022</t>
  </si>
  <si>
    <t xml:space="preserve">SYN-LN-023</t>
  </si>
  <si>
    <t xml:space="preserve">SYN-LN-024</t>
  </si>
  <si>
    <t xml:space="preserve">SYN-LN-025</t>
  </si>
  <si>
    <t xml:space="preserve">SYN-LN-026</t>
  </si>
  <si>
    <t xml:space="preserve">SYN-LN-027</t>
  </si>
  <si>
    <t xml:space="preserve">EL-7810</t>
  </si>
  <si>
    <t xml:space="preserve">USB-C Hub 7-in-1 Aluminium</t>
  </si>
  <si>
    <t xml:space="preserve">8471.80</t>
  </si>
  <si>
    <t xml:space="preserve">(none – new)</t>
  </si>
  <si>
    <t xml:space="preserve">SKU not in Item Master</t>
  </si>
  <si>
    <t xml:space="preserve">(draft new SKU)</t>
  </si>
  <si>
    <t xml:space="preserve">No code match; closest description AC-2201 USB-C Cable (41%) → Potential New SKU</t>
  </si>
  <si>
    <t xml:space="preserve">SYN-LN-028</t>
  </si>
  <si>
    <t xml:space="preserve">BT Spkr 10W portable</t>
  </si>
  <si>
    <t xml:space="preserve">Pc</t>
  </si>
  <si>
    <t xml:space="preserve">Existing SKU; heavily abbreviated description</t>
  </si>
  <si>
    <t xml:space="preserve">EL-4105?</t>
  </si>
  <si>
    <t xml:space="preserve">SKU code exact but description only 64% similar → held for review</t>
  </si>
  <si>
    <t xml:space="preserve">SYN-LN-029</t>
  </si>
  <si>
    <t xml:space="preserve">Exact match; UOM 'Pc' normalised to PCS</t>
  </si>
  <si>
    <t xml:space="preserve">Exact match; UOM 'Pc'→PCS</t>
  </si>
  <si>
    <t xml:space="preserve">SYN-LN-030</t>
  </si>
  <si>
    <t xml:space="preserve">SYN-LN-031</t>
  </si>
  <si>
    <t xml:space="preserve">SYN-LN-032</t>
  </si>
  <si>
    <t xml:space="preserve">SYN-LN-033</t>
  </si>
  <si>
    <t xml:space="preserve">SYN-LN-034</t>
  </si>
  <si>
    <t xml:space="preserve">SYN-LN-035</t>
  </si>
  <si>
    <t xml:space="preserve">SYN-LN-036</t>
  </si>
  <si>
    <t xml:space="preserve">EL-400I</t>
  </si>
  <si>
    <t xml:space="preserve">Wireless Router</t>
  </si>
  <si>
    <t xml:space="preserve">EL-4001 or EL-4011</t>
  </si>
  <si>
    <t xml:space="preserve">Letter 'I' vs digit '1'; generic description fits 2 SKUs</t>
  </si>
  <si>
    <t xml:space="preserve">EL-4001? / EL-4011?</t>
  </si>
  <si>
    <t xml:space="preserve">Potential character-level mismatch (EL-400I vs EL-4001); description matches EL-4001 and EL-4011 equally</t>
  </si>
  <si>
    <t xml:space="preserve">SYN-LN-037</t>
  </si>
  <si>
    <t xml:space="preserve">SYN-LN-038</t>
  </si>
  <si>
    <t xml:space="preserve">SYN-LN-039</t>
  </si>
  <si>
    <t xml:space="preserve">SYN-LN-040</t>
  </si>
  <si>
    <t xml:space="preserve">SYN-LN-041</t>
  </si>
  <si>
    <t xml:space="preserve">SYN-LN-042</t>
  </si>
  <si>
    <t xml:space="preserve">SYN-LN-043</t>
  </si>
  <si>
    <t xml:space="preserve">SYN-LN-044</t>
  </si>
  <si>
    <t xml:space="preserve">Missing Field</t>
  </si>
  <si>
    <t xml:space="preserve">Quantity missing on Packing List</t>
  </si>
  <si>
    <t xml:space="preserve">Existing SKU; mandatory field Quantity blank on Packing List</t>
  </si>
  <si>
    <t xml:space="preserve">SYN-LN-045</t>
  </si>
  <si>
    <t xml:space="preserve">SYN-LN-046</t>
  </si>
  <si>
    <t xml:space="preserve">CG-3O05</t>
  </si>
  <si>
    <t xml:space="preserve">pcs</t>
  </si>
  <si>
    <t xml:space="preserve">Typo: letter 'O' for zero; full description unique</t>
  </si>
  <si>
    <t xml:space="preserve">Code corrected CG-3O05→CG-3005: 1-char difference + description 100% + same supplier. Correction logged</t>
  </si>
  <si>
    <t xml:space="preserve">SYN-LN-047</t>
  </si>
  <si>
    <t xml:space="preserve">Exact match; UOM 'pcs' normalised</t>
  </si>
  <si>
    <t xml:space="preserve">Exact match; UOM 'pcs'→PCS</t>
  </si>
  <si>
    <t xml:space="preserve">SYN-LN-048</t>
  </si>
  <si>
    <t xml:space="preserve">SYN-LN-049</t>
  </si>
  <si>
    <t xml:space="preserve">SYN-LN-050</t>
  </si>
  <si>
    <t xml:space="preserve">SYN-LN-051</t>
  </si>
  <si>
    <t xml:space="preserve">SYN-LN-052</t>
  </si>
  <si>
    <t xml:space="preserve">SYN-LN-053</t>
  </si>
  <si>
    <t xml:space="preserve">SYN-LN-054</t>
  </si>
  <si>
    <t xml:space="preserve">SYN-LN-055</t>
  </si>
  <si>
    <t xml:space="preserve">SYN-LN-056</t>
  </si>
  <si>
    <t xml:space="preserve">SYN-LN-057</t>
  </si>
  <si>
    <t xml:space="preserve">SYN-LN-058</t>
  </si>
  <si>
    <t xml:space="preserve">HH-5530</t>
  </si>
  <si>
    <t xml:space="preserve">Silicone Baking Mat Set 2pc</t>
  </si>
  <si>
    <t xml:space="preserve">3924.10</t>
  </si>
  <si>
    <t xml:space="preserve">No code match; best description match &lt;60% → Potential New SKU</t>
  </si>
  <si>
    <t xml:space="preserve">SYN-LN-059</t>
  </si>
  <si>
    <t xml:space="preserve">Origin: PL/CI Vietnam vs Certificate of Origin China</t>
  </si>
  <si>
    <t xml:space="preserve">Existing SKU; country of origin differs between Invoice and COO</t>
  </si>
  <si>
    <t xml:space="preserve">SYN-LN-060</t>
  </si>
  <si>
    <t xml:space="preserve">SYN-LN-061</t>
  </si>
  <si>
    <t xml:space="preserve">SYN-LN-062</t>
  </si>
  <si>
    <t xml:space="preserve">SYN-LN-063</t>
  </si>
  <si>
    <t xml:space="preserve">SYN-LN-064</t>
  </si>
  <si>
    <t xml:space="preserve">CG-3OO6</t>
  </si>
  <si>
    <t xml:space="preserve">S/Steel Bottle</t>
  </si>
  <si>
    <t xml:space="preserve">CG-3005 or CG-3006</t>
  </si>
  <si>
    <t xml:space="preserve">Two-character mismatch; description lacks capacity</t>
  </si>
  <si>
    <t xml:space="preserve">CG-3006? / CG-3005?</t>
  </si>
  <si>
    <t xml:space="preserve">Code does not exist; description fits 750ml and 500ml bottles equally</t>
  </si>
  <si>
    <t xml:space="preserve">SYN-LN-065</t>
  </si>
  <si>
    <t xml:space="preserve">SYN-LN-066</t>
  </si>
  <si>
    <t xml:space="preserve">SYN-LN-067</t>
  </si>
  <si>
    <t xml:space="preserve">SYN-LN-068</t>
  </si>
  <si>
    <t xml:space="preserve">SYN-LN-069</t>
  </si>
  <si>
    <t xml:space="preserve">SYN-LN-070</t>
  </si>
  <si>
    <t xml:space="preserve">Duplicate</t>
  </si>
  <si>
    <t xml:space="preserve">Repeats line 2 exactly</t>
  </si>
  <si>
    <t xml:space="preserve">Same SKU, qty, weight as line 2 → probable duplicate</t>
  </si>
  <si>
    <t xml:space="preserve">SYN-LN-071</t>
  </si>
  <si>
    <t xml:space="preserve">SYN-LN-072</t>
  </si>
  <si>
    <t xml:space="preserve">AC-221O</t>
  </si>
  <si>
    <t xml:space="preserve">USB-C Cable</t>
  </si>
  <si>
    <t xml:space="preserve">AC-2210 or AC-2201</t>
  </si>
  <si>
    <t xml:space="preserve">Code resembles AC-2210 and AC-2201; description lacks length</t>
  </si>
  <si>
    <t xml:space="preserve">Code corrected AC-221O→AC-2210 (1 char). ERROR: did not check that length (1m/2m) is missing</t>
  </si>
  <si>
    <t xml:space="preserve">SYN-LN-073</t>
  </si>
  <si>
    <t xml:space="preserve">SYN-LN-074</t>
  </si>
  <si>
    <t xml:space="preserve">SYN-LN-075</t>
  </si>
  <si>
    <t xml:space="preserve">SYN-LN-076</t>
  </si>
  <si>
    <t xml:space="preserve">SYN-LN-077</t>
  </si>
  <si>
    <t xml:space="preserve">EL-4025</t>
  </si>
  <si>
    <t xml:space="preserve">Mesh Wi-Fi System 3-Pack AX3000</t>
  </si>
  <si>
    <t xml:space="preserve">EL-4020?</t>
  </si>
  <si>
    <t xml:space="preserve">No code match; description 76% similar to EL-4020 Mesh Wi-Fi Node → held as Ambiguous</t>
  </si>
  <si>
    <t xml:space="preserve">SYN-LN-078</t>
  </si>
  <si>
    <t xml:space="preserve">Qty: PL 500 vs CI 550</t>
  </si>
  <si>
    <t xml:space="preserve">Existing SKU; quantity differs: Packing List 500 vs Invoice 550</t>
  </si>
  <si>
    <t xml:space="preserve">SYN-LN-079</t>
  </si>
  <si>
    <t xml:space="preserve">SYN-LN-080</t>
  </si>
  <si>
    <t xml:space="preserve">SYN-LN-081</t>
  </si>
  <si>
    <t xml:space="preserve">Ctns</t>
  </si>
  <si>
    <t xml:space="preserve">Exact match; UOM 'Ctns' normalised</t>
  </si>
  <si>
    <t xml:space="preserve">SYN-LN-082</t>
  </si>
  <si>
    <t xml:space="preserve">Nos</t>
  </si>
  <si>
    <t xml:space="preserve">Exact match; UOM 'Nos' normalised</t>
  </si>
  <si>
    <t xml:space="preserve">SYN-LN-083</t>
  </si>
  <si>
    <t xml:space="preserve">SYN-LN-084</t>
  </si>
  <si>
    <t xml:space="preserve">PK-6520</t>
  </si>
  <si>
    <t xml:space="preserve">Sparkling Water 24x330ml</t>
  </si>
  <si>
    <t xml:space="preserve">SYN-LN-085</t>
  </si>
  <si>
    <t xml:space="preserve">SYN-LN-086</t>
  </si>
  <si>
    <t xml:space="preserve">SYN-LN-087</t>
  </si>
  <si>
    <t xml:space="preserve">SYN-LN-088</t>
  </si>
  <si>
    <t xml:space="preserve">SYN-LN-089</t>
  </si>
  <si>
    <t xml:space="preserve">SYN-LN-090</t>
  </si>
  <si>
    <t xml:space="preserve">SYN-LN-091</t>
  </si>
  <si>
    <t xml:space="preserve">SYN-LN-092</t>
  </si>
  <si>
    <t xml:space="preserve">SYN-LN-093</t>
  </si>
  <si>
    <t xml:space="preserve">SYN-LN-094</t>
  </si>
  <si>
    <t xml:space="preserve">SYN-LN-095</t>
  </si>
  <si>
    <t xml:space="preserve">SYN-LN-096</t>
  </si>
  <si>
    <t xml:space="preserve">SYN-LN-097</t>
  </si>
  <si>
    <t xml:space="preserve">SYN-LN-098</t>
  </si>
  <si>
    <t xml:space="preserve">SYN-LN-099</t>
  </si>
  <si>
    <t xml:space="preserve">SYN-LN-100</t>
  </si>
  <si>
    <t xml:space="preserve">SYN-LN-101</t>
  </si>
  <si>
    <t xml:space="preserve">SYN-LN-102</t>
  </si>
  <si>
    <t xml:space="preserve">SYN-LN-103</t>
  </si>
  <si>
    <t xml:space="preserve">Exception Register – seeded data-quality problems vs what the AI flagged</t>
  </si>
  <si>
    <t xml:space="preserve">Ground truth = exceptions deliberately planted in the synthetic data (Yes) or not (No). AI_Flagged = simulated AI result.</t>
  </si>
  <si>
    <t xml:space="preserve">Exception_ID</t>
  </si>
  <si>
    <t xml:space="preserve">Level</t>
  </si>
  <si>
    <t xml:space="preserve">Exception_Type</t>
  </si>
  <si>
    <t xml:space="preserve">Field</t>
  </si>
  <si>
    <t xml:space="preserve">Detail</t>
  </si>
  <si>
    <t xml:space="preserve">GT_Seeded_Exception</t>
  </si>
  <si>
    <t xml:space="preserve">AI_Flagged</t>
  </si>
  <si>
    <t xml:space="preserve">Test_Result</t>
  </si>
  <si>
    <t xml:space="preserve">SYN-EX-01</t>
  </si>
  <si>
    <t xml:space="preserve">Line</t>
  </si>
  <si>
    <t xml:space="preserve">False alarm</t>
  </si>
  <si>
    <t xml:space="preserve">AI read PL quantity as 120 (actual 1200) due to scan quality; cross-check with Invoice (1200) raised a conflict</t>
  </si>
  <si>
    <t xml:space="preserve">SYN-EX-02</t>
  </si>
  <si>
    <t xml:space="preserve">Quantity blank on Packing List (Invoice shows 240)</t>
  </si>
  <si>
    <t xml:space="preserve">SYN-EX-03</t>
  </si>
  <si>
    <t xml:space="preserve">Shipment</t>
  </si>
  <si>
    <t xml:space="preserve">—</t>
  </si>
  <si>
    <t xml:space="preserve">Missing Document</t>
  </si>
  <si>
    <t xml:space="preserve">Email states invoice attached; only Packing List received</t>
  </si>
  <si>
    <t xml:space="preserve">SYN-EX-04</t>
  </si>
  <si>
    <t xml:space="preserve">Country of origin</t>
  </si>
  <si>
    <t xml:space="preserve">Invoice/PL state Vietnam; Certificate of Origin states China</t>
  </si>
  <si>
    <t xml:space="preserve">SYN-EX-05</t>
  </si>
  <si>
    <t xml:space="preserve">Line item</t>
  </si>
  <si>
    <t xml:space="preserve">Line 5 duplicates line 2 (same SKU, qty, weight)</t>
  </si>
  <si>
    <t xml:space="preserve">SYN-EX-06</t>
  </si>
  <si>
    <t xml:space="preserve">Packing List 500 CTN vs Commercial Invoice 550 CTN</t>
  </si>
  <si>
    <t xml:space="preserve">SYN-EX-07</t>
  </si>
  <si>
    <t xml:space="preserve">Gross weight</t>
  </si>
  <si>
    <t xml:space="preserve">Packing List total 241.0 kg vs Invoice 256.2 kg (+6.3%)</t>
  </si>
  <si>
    <t xml:space="preserve">Shipment-level result: ground truth outcome vs AI routing (all formulas)</t>
  </si>
  <si>
    <t xml:space="preserve">Received</t>
  </si>
  <si>
    <t xml:space="preserve">Scenario</t>
  </si>
  <si>
    <t xml:space="preserve">Docs</t>
  </si>
  <si>
    <t xml:space="preserve">Lines</t>
  </si>
  <si>
    <t xml:space="preserve">AI lines auto</t>
  </si>
  <si>
    <t xml:space="preserve">AI lines to human</t>
  </si>
  <si>
    <t xml:space="preserve">AI docs low-conf</t>
  </si>
  <si>
    <t xml:space="preserve">AI shipment flags</t>
  </si>
  <si>
    <t xml:space="preserve">GT lines not clean</t>
  </si>
  <si>
    <t xml:space="preserve">GT shipment exceptions</t>
  </si>
  <si>
    <t xml:space="preserve">GT_Outcome</t>
  </si>
  <si>
    <t xml:space="preserve">Decision Rules &amp; Confidence Thresholds used in the simulation</t>
  </si>
  <si>
    <t xml:space="preserve">Plain-English business rules. Thresholds (yellow) are adjustable – dependent formulas update. To be calibrated on real Transworld data.</t>
  </si>
  <si>
    <t xml:space="preserve">#</t>
  </si>
  <si>
    <t xml:space="preserve">Rule / threshold</t>
  </si>
  <si>
    <t xml:space="preserve">Value</t>
  </si>
  <si>
    <t xml:space="preserve">How it is used</t>
  </si>
  <si>
    <t xml:space="preserve">Document classification: minimum confidence for automatic acceptance</t>
  </si>
  <si>
    <t xml:space="preserve">Below this, a person confirms the document type before extraction continues.</t>
  </si>
  <si>
    <t xml:space="preserve">SKU: minimum confidence for automatic acceptance of an Existing SKU</t>
  </si>
  <si>
    <t xml:space="preserve">Existing SKU + Valid data + confidence ≥ this → auto-processed. Otherwise → human review.</t>
  </si>
  <si>
    <t xml:space="preserve">SKU: 'Existing' when code matches exactly and description similarity is high</t>
  </si>
  <si>
    <t xml:space="preserve">≥ 85%</t>
  </si>
  <si>
    <t xml:space="preserve">Code exact + description similar → Existing (confidence 90–99%).</t>
  </si>
  <si>
    <t xml:space="preserve">SKU: 'Existing – corrected' when code differs by 1 character AND description uniquely matches one SKU</t>
  </si>
  <si>
    <t xml:space="preserve">1 char</t>
  </si>
  <si>
    <t xml:space="preserve">Correction is logged for audit (e.g., CG-3O05 → CG-3005).</t>
  </si>
  <si>
    <t xml:space="preserve">SKU: 'Ambiguous' when code is close to 2+ SKUs or description fits 2+ SKUs, or description similarity is 60–85%</t>
  </si>
  <si>
    <t xml:space="preserve">60–85%</t>
  </si>
  <si>
    <t xml:space="preserve">Never auto-accepted; reviewer picks the right SKU.</t>
  </si>
  <si>
    <t xml:space="preserve">SKU: 'Potential New SKU' when no code match and best description similarity &lt; 60%</t>
  </si>
  <si>
    <t xml:space="preserve">&lt; 60%</t>
  </si>
  <si>
    <t xml:space="preserve">Draft SKU record generated; always requires human APPROVE / EDIT / REJECT.</t>
  </si>
  <si>
    <t xml:space="preserve">Validation: mandatory fields</t>
  </si>
  <si>
    <t xml:space="preserve">SKU, Qty, UOM, HS, Origin</t>
  </si>
  <si>
    <t xml:space="preserve">Blank mandatory field → 'Missing Field' exception.</t>
  </si>
  <si>
    <t xml:space="preserve">Validation: cross-document checks (PL vs CI vs COO)</t>
  </si>
  <si>
    <t xml:space="preserve">Qty, HS, Origin, Weight</t>
  </si>
  <si>
    <t xml:space="preserve">Any mismatch → 'Conflict' exception.</t>
  </si>
  <si>
    <t xml:space="preserve">Validation: gross-weight tolerance between PL and CI</t>
  </si>
  <si>
    <t xml:space="preserve">Differences within tolerance are accepted. (Testing shows 10% is too loose – see Test_Cases feedback.)</t>
  </si>
  <si>
    <t xml:space="preserve">Validation: duplicate line</t>
  </si>
  <si>
    <t xml:space="preserve">Same SKU+Qty+Weight</t>
  </si>
  <si>
    <t xml:space="preserve">Repeated line on the same document → 'Duplicate' exception.</t>
  </si>
  <si>
    <t xml:space="preserve">UOM normalisation dictionary</t>
  </si>
  <si>
    <t xml:space="preserve">Pieces/Pc/pcs/Nos → PCS; Carton/Ctns → CTN</t>
  </si>
  <si>
    <t xml:space="preserve">Applied before matching; not treated as an exception.</t>
  </si>
  <si>
    <t xml:space="preserve">Supplier Master (fictional)</t>
  </si>
  <si>
    <t xml:space="preserve">Supplier names are invented for this POC; any resemblance to real companies is coincidental.</t>
  </si>
  <si>
    <t xml:space="preserve">Country</t>
  </si>
  <si>
    <t xml:space="preserve">Main_Category</t>
  </si>
  <si>
    <t xml:space="preserve">SKUs_in_Master</t>
  </si>
  <si>
    <t xml:space="preserve">Brightlink Electronics Co. (fictional)</t>
  </si>
  <si>
    <t xml:space="preserve">Everhome Housewares Ltd (fictional)</t>
  </si>
  <si>
    <t xml:space="preserve">Crestline Consumer Products Pvt Ltd (fictional)</t>
  </si>
  <si>
    <t xml:space="preserve">Anka Accessories Trading (fictional)</t>
  </si>
  <si>
    <t xml:space="preserve">Greenleaf Foods JSC (fictional)</t>
  </si>
  <si>
    <t xml:space="preserve">Voltix Components Sdn Bhd (fictional)</t>
  </si>
  <si>
    <t xml:space="preserve">Electronics &amp; Cables</t>
  </si>
  <si>
    <t xml:space="preserve">Desert Palm Foodstuff Trading LLC (fictional)</t>
  </si>
  <si>
    <t xml:space="preserve">Nordkap Home Appliances GmbH (fictional)</t>
  </si>
  <si>
    <t xml:space="preserve">Household Appliances</t>
  </si>
  <si>
    <t xml:space="preserve">STEP 4 – Dashboard Specification (for Power BI / Excel / slide mock-up)</t>
  </si>
  <si>
    <t xml:space="preserve">Layout and behaviour of the operations dashboard that a production version would provide.</t>
  </si>
  <si>
    <t xml:space="preserve">Panel</t>
  </si>
  <si>
    <t xml:space="preserve">KPIs / content</t>
  </si>
  <si>
    <t xml:space="preserve">Visual</t>
  </si>
  <si>
    <t xml:space="preserve">Why it matters to operations</t>
  </si>
  <si>
    <t xml:space="preserve">Data source (sheet)</t>
  </si>
  <si>
    <t xml:space="preserve">1. Header strip</t>
  </si>
  <si>
    <t xml:space="preserve">Period, # emails, # documents, # line items</t>
  </si>
  <si>
    <t xml:space="preserve">4 KPI tiles</t>
  </si>
  <si>
    <t xml:space="preserve">Shows workload handled by the AI</t>
  </si>
  <si>
    <t xml:space="preserve">Shipment_Summary, Documents, Line_Items</t>
  </si>
  <si>
    <t xml:space="preserve">2. Straight-through processing</t>
  </si>
  <si>
    <t xml:space="preserve">% lines auto-processed; # shipments auto-processed; # routed to human</t>
  </si>
  <si>
    <t xml:space="preserve">Donut + 2 tiles</t>
  </si>
  <si>
    <t xml:space="preserve">Headline efficiency measure</t>
  </si>
  <si>
    <t xml:space="preserve">Line_Items (AI_Route), Shipment_Summary</t>
  </si>
  <si>
    <t xml:space="preserve">3. SKU intelligence</t>
  </si>
  <si>
    <t xml:space="preserve">Existing / Potential New / Ambiguous counts</t>
  </si>
  <si>
    <t xml:space="preserve">Stacked bar; list of new-SKU drafts awaiting approval</t>
  </si>
  <si>
    <t xml:space="preserve">Controls Item Master growth and data quality</t>
  </si>
  <si>
    <t xml:space="preserve">Line_Items (AI_SKU_Status)</t>
  </si>
  <si>
    <t xml:space="preserve">4. Exceptions</t>
  </si>
  <si>
    <t xml:space="preserve">Missing field / Conflict / Duplicate / Missing document by supplier</t>
  </si>
  <si>
    <t xml:space="preserve">Bar by type; table by supplier</t>
  </si>
  <si>
    <t xml:space="preserve">Targets supplier follow-up</t>
  </si>
  <si>
    <t xml:space="preserve">Exceptions</t>
  </si>
  <si>
    <t xml:space="preserve">5. Human review queue</t>
  </si>
  <si>
    <t xml:space="preserve">Open items, age, reason, confidence</t>
  </si>
  <si>
    <t xml:space="preserve">Sortable table with APPROVE / EDIT / REJECT</t>
  </si>
  <si>
    <t xml:space="preserve">The daily work list for inbound staff</t>
  </si>
  <si>
    <t xml:space="preserve">Line_Items, Documents (AI_Action)</t>
  </si>
  <si>
    <t xml:space="preserve">6. Quality &amp; trust (test mode)</t>
  </si>
  <si>
    <t xml:space="preserve">Classification, extraction, SKU match accuracy; exception recall &amp; precision; confusion matrix</t>
  </si>
  <si>
    <t xml:space="preserve">Scorecards + 3×3 matrix</t>
  </si>
  <si>
    <t xml:space="preserve">Proves the AI is reliable before scaling</t>
  </si>
  <si>
    <t xml:space="preserve">KPI_Dashboard</t>
  </si>
  <si>
    <t xml:space="preserve">7. Supplier data-quality score</t>
  </si>
  <si>
    <t xml:space="preserve">% clean shipments per supplier</t>
  </si>
  <si>
    <t xml:space="preserve">Ranked bar</t>
  </si>
  <si>
    <t xml:space="preserve">Identifies suppliers needing document standards</t>
  </si>
  <si>
    <t xml:space="preserve">Shipment_Summary</t>
  </si>
  <si>
    <t xml:space="preserve">Filters</t>
  </si>
  <si>
    <t xml:space="preserve">Date, supplier, document type, status</t>
  </si>
  <si>
    <t xml:space="preserve">Slicers</t>
  </si>
  <si>
    <t xml:space="preserve">Drill-down</t>
  </si>
  <si>
    <t xml:space="preserve">J – How each stage transforms the data (activities → required data points → output)</t>
  </si>
  <si>
    <t xml:space="preserve">Only the key data points per activity are used, as instructed. Example column refers to records in this workbook.</t>
  </si>
  <si>
    <t xml:space="preserve">Activity</t>
  </si>
  <si>
    <t xml:space="preserve">Key data points required</t>
  </si>
  <si>
    <t xml:space="preserve">What the AI does (business terms)</t>
  </si>
  <si>
    <t xml:space="preserve">Output of the stage</t>
  </si>
  <si>
    <t xml:space="preserve">Example from synthetic data</t>
  </si>
  <si>
    <t xml:space="preserve">1. Email &amp; attachment capture</t>
  </si>
  <si>
    <t xml:space="preserve">Email ID, sender, date/time, subject, PO number, attachments</t>
  </si>
  <si>
    <t xml:space="preserve">Reads the inbox, links each email to a shipment and PO, saves all attachments</t>
  </si>
  <si>
    <t xml:space="preserve">Shipment record + list of files</t>
  </si>
  <si>
    <t xml:space="preserve">SYN-EM-016: email says 2 attachments, only 1 received → flagged</t>
  </si>
  <si>
    <t xml:space="preserve">2. Document classification</t>
  </si>
  <si>
    <t xml:space="preserve">File name, layout, keywords, header text</t>
  </si>
  <si>
    <t xml:space="preserve">Recognises each file as Packing List / Invoice / COO / BOE or Not Relevant, with confidence</t>
  </si>
  <si>
    <t xml:space="preserve">Typed, relevant documents</t>
  </si>
  <si>
    <t xml:space="preserve">'Supplier_Price_List_Q4.pdf' – low confidence (61%), sent for confirmation</t>
  </si>
  <si>
    <t xml:space="preserve">3. Parsing &amp; extraction</t>
  </si>
  <si>
    <t xml:space="preserve">SKU, description, quantity, UOM, HS code, origin, weight</t>
  </si>
  <si>
    <t xml:space="preserve">Reads the tables inside documents and captures each line</t>
  </si>
  <si>
    <t xml:space="preserve">Structured line items</t>
  </si>
  <si>
    <t xml:space="preserve">103 lines extracted from 30 Packing Lists</t>
  </si>
  <si>
    <t xml:space="preserve">4. Normalisation &amp; validation</t>
  </si>
  <si>
    <t xml:space="preserve">Mandatory fields, UOM dictionary, cross-document fields</t>
  </si>
  <si>
    <t xml:space="preserve">Standardises formats (Pc → PCS), checks blanks, compares PL vs Invoice vs COO</t>
  </si>
  <si>
    <t xml:space="preserve">Valid / Missing Field / Conflict / Duplicate</t>
  </si>
  <si>
    <t xml:space="preserve">SYN-SH-023: PL 500 vs Invoice 550 → Conflict</t>
  </si>
  <si>
    <t xml:space="preserve">5. SKU comparison vs Item Master</t>
  </si>
  <si>
    <t xml:space="preserve">SKU code, description, supplier, attributes</t>
  </si>
  <si>
    <t xml:space="preserve">Looks up code; if not exact, compares character-by-character and by meaning of description</t>
  </si>
  <si>
    <t xml:space="preserve">Candidate matches with similarity</t>
  </si>
  <si>
    <t xml:space="preserve">EL-400I vs EL-4001 / EL-4011</t>
  </si>
  <si>
    <t xml:space="preserve">6. Existing / New / Ambiguous + confidence</t>
  </si>
  <si>
    <t xml:space="preserve">Similarity scores, thresholds (Decision_Rules)</t>
  </si>
  <si>
    <t xml:space="preserve">Assigns status and a confidence %, applies routing rules</t>
  </si>
  <si>
    <t xml:space="preserve">Status + confidence + route</t>
  </si>
  <si>
    <t xml:space="preserve">EL-7810 → Potential New SKU, 92%</t>
  </si>
  <si>
    <t xml:space="preserve">7. Validated output / handoff</t>
  </si>
  <si>
    <t xml:space="preserve">All validated fields + decision log</t>
  </si>
  <si>
    <t xml:space="preserve">Publishes a clean record for downstream receiving; keeps audit trail of human decisions</t>
  </si>
  <si>
    <t xml:space="preserve">Ready-for-receiving record</t>
  </si>
  <si>
    <t xml:space="preserve">SYN-SH-001 → READY, zero human touch</t>
  </si>
  <si>
    <t xml:space="preserve">K – Presentation-ready slide plan</t>
  </si>
  <si>
    <t xml:space="preserve">One idea per slide. Numbers come from KPI_Dashboard. Put the red 'Synthetic data' tag on every data slide.</t>
  </si>
  <si>
    <t xml:space="preserve">Slide title</t>
  </si>
  <si>
    <t xml:space="preserve">Input</t>
  </si>
  <si>
    <t xml:space="preserve">Process</t>
  </si>
  <si>
    <t xml:space="preserve">Output</t>
  </si>
  <si>
    <t xml:space="preserve">Key visual</t>
  </si>
  <si>
    <t xml:space="preserve">Intelligent Inbound Processing – Proof of Concept</t>
  </si>
  <si>
    <t xml:space="preserve">Set context &amp; disclaimer</t>
  </si>
  <si>
    <t xml:space="preserve">Title + red banner 'Synthetic data – illustrative only'</t>
  </si>
  <si>
    <t xml:space="preserve">Demonstrating how it would work, not claiming Transworld data</t>
  </si>
  <si>
    <t xml:space="preserve">Mid-review recap: why a POC</t>
  </si>
  <si>
    <t xml:space="preserve">Explain shift from data collection to simulation</t>
  </si>
  <si>
    <t xml:space="preserve">Mid-review scope</t>
  </si>
  <si>
    <t xml:space="preserve">No company data/visit available</t>
  </si>
  <si>
    <t xml:space="preserve">POC with synthetic data</t>
  </si>
  <si>
    <t xml:space="preserve">Timeline: plan → blocker → POC</t>
  </si>
  <si>
    <t xml:space="preserve">We stopped waiting and proved the concept</t>
  </si>
  <si>
    <t xml:space="preserve">Proposed activities</t>
  </si>
  <si>
    <t xml:space="preserve">Show the 7-step future state</t>
  </si>
  <si>
    <t xml:space="preserve">Current manual 'read &amp; understand' work</t>
  </si>
  <si>
    <t xml:space="preserve">7 activities</t>
  </si>
  <si>
    <t xml:space="preserve">End-to-end flow</t>
  </si>
  <si>
    <t xml:space="preserve">Horizontal flow EMAIL → … → VALIDATED OUTPUT</t>
  </si>
  <si>
    <t xml:space="preserve">Automate reading; keep people for judgment</t>
  </si>
  <si>
    <t xml:space="preserve">Required data points</t>
  </si>
  <si>
    <t xml:space="preserve">Show we selected only what matters</t>
  </si>
  <si>
    <t xml:space="preserve">Key data points per activity</t>
  </si>
  <si>
    <t xml:space="preserve">Data checklist</t>
  </si>
  <si>
    <t xml:space="preserve">Activity × data-point matrix (Stage_Transformation)</t>
  </si>
  <si>
    <t xml:space="preserve">A small set of fields drives the whole process</t>
  </si>
  <si>
    <t xml:space="preserve">The synthetic test environment</t>
  </si>
  <si>
    <t xml:space="preserve">Describe dataset</t>
  </si>
  <si>
    <t xml:space="preserve">Design choices</t>
  </si>
  <si>
    <t xml:space="preserve">80 SKUs, 30 shipments, 79 files, 103 lines, 2 weeks</t>
  </si>
  <si>
    <t xml:space="preserve">Planted edge cases + ground truth</t>
  </si>
  <si>
    <t xml:space="preserve">Dataset iceberg: 'mostly normal, some exceptions'</t>
  </si>
  <si>
    <t xml:space="preserve">Realistic, not designed to flatter the AI</t>
  </si>
  <si>
    <t xml:space="preserve">How the AI decides</t>
  </si>
  <si>
    <t xml:space="preserve">Explain confidence &amp; routing</t>
  </si>
  <si>
    <t xml:space="preserve">Decision_Rules</t>
  </si>
  <si>
    <t xml:space="preserve">Thresholds 80% / 90%</t>
  </si>
  <si>
    <t xml:space="preserve">Existing / New / Ambiguous</t>
  </si>
  <si>
    <t xml:space="preserve">Traffic light: green auto, amber review, blue new-SKU approval</t>
  </si>
  <si>
    <t xml:space="preserve">Confidence decides who acts: system or person</t>
  </si>
  <si>
    <t xml:space="preserve">Test A – Clean shipment</t>
  </si>
  <si>
    <t xml:space="preserve">Show straight-through</t>
  </si>
  <si>
    <t xml:space="preserve">Classify → extract → validate → match</t>
  </si>
  <si>
    <t xml:space="preserve">4 Existing, 95–99%</t>
  </si>
  <si>
    <t xml:space="preserve">10-step flow with green ticks</t>
  </si>
  <si>
    <t xml:space="preserve">Routine work flows through untouched</t>
  </si>
  <si>
    <t xml:space="preserve">Test B – New SKU</t>
  </si>
  <si>
    <t xml:space="preserve">Show onboarding</t>
  </si>
  <si>
    <t xml:space="preserve">No match → draft SKU</t>
  </si>
  <si>
    <t xml:space="preserve">EL-7810, 92%</t>
  </si>
  <si>
    <t xml:space="preserve">Draft SKU card with APPROVE / EDIT / REJECT</t>
  </si>
  <si>
    <t xml:space="preserve">New items detected; humans approve</t>
  </si>
  <si>
    <t xml:space="preserve">Test C – Ambiguous SKU</t>
  </si>
  <si>
    <t xml:space="preserve">Show caution</t>
  </si>
  <si>
    <t xml:space="preserve">EL-400I vs EL-4001/EL-4011</t>
  </si>
  <si>
    <t xml:space="preserve">71% → review</t>
  </si>
  <si>
    <t xml:space="preserve">Side-by-side code comparison, 'I' vs '1' highlighted</t>
  </si>
  <si>
    <t xml:space="preserve">The AI knows when it is unsure</t>
  </si>
  <si>
    <t xml:space="preserve">Tests D &amp; E – Data quality</t>
  </si>
  <si>
    <t xml:space="preserve">Show validation</t>
  </si>
  <si>
    <t xml:space="preserve">SYN-SH-013, SYN-SH-023</t>
  </si>
  <si>
    <t xml:space="preserve">Mandatory &amp; cross-doc checks</t>
  </si>
  <si>
    <t xml:space="preserve">FAILED (qty) / CONFLICT (500 vs 550)</t>
  </si>
  <si>
    <t xml:space="preserve">Two document snippets with red highlights</t>
  </si>
  <si>
    <t xml:space="preserve">Bad data is stopped before the warehouse</t>
  </si>
  <si>
    <t xml:space="preserve">Testing results</t>
  </si>
  <si>
    <t xml:space="preserve">Prove with numbers</t>
  </si>
  <si>
    <t xml:space="preserve">Ground truth vs system output</t>
  </si>
  <si>
    <t xml:space="preserve">Accuracy formulas</t>
  </si>
  <si>
    <t xml:space="preserve">KPI scorecard + confusion matrix</t>
  </si>
  <si>
    <t xml:space="preserve">KPI tiles + 3×3 matrix</t>
  </si>
  <si>
    <t xml:space="preserve">Measured, not assumed</t>
  </si>
  <si>
    <t xml:space="preserve">What testing taught us</t>
  </si>
  <si>
    <t xml:space="preserve">Show feedback loop</t>
  </si>
  <si>
    <t xml:space="preserve">5 planted errors</t>
  </si>
  <si>
    <t xml:space="preserve">Root-cause</t>
  </si>
  <si>
    <t xml:space="preserve">Rule fixes F1–F5</t>
  </si>
  <si>
    <t xml:space="preserve">Finding → fix table</t>
  </si>
  <si>
    <t xml:space="preserve">Testing improves the rules before go-live</t>
  </si>
  <si>
    <t xml:space="preserve">Operations dashboard</t>
  </si>
  <si>
    <t xml:space="preserve">Show management view</t>
  </si>
  <si>
    <t xml:space="preserve">Dashboard_Spec</t>
  </si>
  <si>
    <t xml:space="preserve">7 panels</t>
  </si>
  <si>
    <t xml:space="preserve">Mock-up</t>
  </si>
  <si>
    <t xml:space="preserve">Dashboard mock-up</t>
  </si>
  <si>
    <t xml:space="preserve">One screen for inbound control</t>
  </si>
  <si>
    <t xml:space="preserve">Expected outcome</t>
  </si>
  <si>
    <t xml:space="preserve">Business value in process terms</t>
  </si>
  <si>
    <t xml:space="preserve">POC results</t>
  </si>
  <si>
    <t xml:space="preserve">Less manual reading; earlier exception detection; cleaner Item Master</t>
  </si>
  <si>
    <t xml:space="preserve">Qualitative benefits (to be quantified with real data)</t>
  </si>
  <si>
    <t xml:space="preserve">Before/after process map</t>
  </si>
  <si>
    <t xml:space="preserve">Faster, more accurate, scalable inbound</t>
  </si>
  <si>
    <t xml:space="preserve">Next steps with actual Transworld data</t>
  </si>
  <si>
    <t xml:space="preserve">Path to pilot</t>
  </si>
  <si>
    <t xml:space="preserve">Sample emails/docs, Item Master extract, historical exceptions</t>
  </si>
  <si>
    <t xml:space="preserve">Replace synthetic data; recalibrate thresholds</t>
  </si>
  <si>
    <t xml:space="preserve">Pilot on 1 client / 4 weeks; compare to manual baseline</t>
  </si>
  <si>
    <t xml:space="preserve">Phased roadmap</t>
  </si>
  <si>
    <t xml:space="preserve">Same test method, real data</t>
  </si>
</sst>
</file>

<file path=xl/styles.xml><?xml version="1.0" encoding="utf-8"?>
<styleSheet xmlns="http://schemas.openxmlformats.org/spreadsheetml/2006/main">
  <numFmts count="7">
    <numFmt numFmtId="164" formatCode="General"/>
    <numFmt numFmtId="165" formatCode="#,##0"/>
    <numFmt numFmtId="166" formatCode="0.0%"/>
    <numFmt numFmtId="167" formatCode="General"/>
    <numFmt numFmtId="168" formatCode="0.00"/>
    <numFmt numFmtId="169" formatCode="#,##0.0"/>
    <numFmt numFmtId="170" formatCode="0%"/>
  </numFmts>
  <fonts count="1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4"/>
      <color rgb="FF1F4E79"/>
      <name val="Arial"/>
      <family val="0"/>
      <charset val="1"/>
    </font>
    <font>
      <i val="true"/>
      <sz val="9"/>
      <color rgb="FF595959"/>
      <name val="Arial"/>
      <family val="0"/>
      <charset val="1"/>
    </font>
    <font>
      <b val="true"/>
      <sz val="9"/>
      <name val="Arial"/>
      <family val="0"/>
      <charset val="1"/>
    </font>
    <font>
      <sz val="9"/>
      <name val="Arial"/>
      <family val="0"/>
      <charset val="1"/>
    </font>
    <font>
      <b val="true"/>
      <sz val="9"/>
      <color rgb="FFFFFFFF"/>
      <name val="Arial"/>
      <family val="0"/>
      <charset val="1"/>
    </font>
    <font>
      <b val="true"/>
      <sz val="9"/>
      <color rgb="FFC00000"/>
      <name val="Arial"/>
      <family val="0"/>
      <charset val="1"/>
    </font>
    <font>
      <b val="true"/>
      <sz val="11"/>
      <color rgb="FF1F4E79"/>
      <name val="Arial"/>
      <family val="0"/>
      <charset val="1"/>
    </font>
    <font>
      <b val="true"/>
      <sz val="18"/>
      <color rgb="FF000000"/>
      <name val="Calibri"/>
      <family val="2"/>
    </font>
    <font>
      <sz val="10"/>
      <color rgb="FF000000"/>
      <name val="Calibri"/>
      <family val="2"/>
    </font>
    <font>
      <b val="true"/>
      <sz val="12"/>
      <color rgb="FFC55A11"/>
      <name val="Arial"/>
      <family val="0"/>
      <charset val="1"/>
    </font>
    <font>
      <i val="true"/>
      <sz val="8"/>
      <color rgb="FF595959"/>
      <name val="Arial"/>
      <family val="0"/>
      <charset val="1"/>
    </font>
    <font>
      <sz val="9"/>
      <color rgb="FF0000FF"/>
      <name val="Arial"/>
      <family val="0"/>
      <charset val="1"/>
    </font>
  </fonts>
  <fills count="13">
    <fill>
      <patternFill patternType="none"/>
    </fill>
    <fill>
      <patternFill patternType="gray125"/>
    </fill>
    <fill>
      <patternFill patternType="solid">
        <fgColor rgb="FFC00000"/>
        <bgColor rgb="FF800000"/>
      </patternFill>
    </fill>
    <fill>
      <patternFill patternType="solid">
        <fgColor rgb="FF404040"/>
        <bgColor rgb="FF333300"/>
      </patternFill>
    </fill>
    <fill>
      <patternFill patternType="solid">
        <fgColor rgb="FF1F4E79"/>
        <bgColor rgb="FF003366"/>
      </patternFill>
    </fill>
    <fill>
      <patternFill patternType="solid">
        <fgColor rgb="FFE2EFDA"/>
        <bgColor rgb="FFDDEBF7"/>
      </patternFill>
    </fill>
    <fill>
      <patternFill patternType="solid">
        <fgColor rgb="FFDDEBF7"/>
        <bgColor rgb="FFE2EFDA"/>
      </patternFill>
    </fill>
    <fill>
      <patternFill patternType="solid">
        <fgColor rgb="FF548235"/>
        <bgColor rgb="FF595959"/>
      </patternFill>
    </fill>
    <fill>
      <patternFill patternType="solid">
        <fgColor rgb="FF2E75B6"/>
        <bgColor rgb="FF4F81BD"/>
      </patternFill>
    </fill>
    <fill>
      <patternFill patternType="solid">
        <fgColor rgb="FFC55A11"/>
        <bgColor rgb="FFC0504D"/>
      </patternFill>
    </fill>
    <fill>
      <patternFill patternType="solid">
        <fgColor rgb="FFFCE4D6"/>
        <bgColor rgb="FFFFF2CC"/>
      </patternFill>
    </fill>
    <fill>
      <patternFill patternType="solid">
        <fgColor rgb="FFFFF2CC"/>
        <bgColor rgb="FFFCE4D6"/>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8" fillId="5"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top"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9" fontId="8" fillId="0" borderId="1" xfId="0" applyFont="true" applyBorder="true" applyAlignment="true" applyProtection="false">
      <alignment horizontal="general" vertical="top" textRotation="0" wrapText="false" indent="0" shrinkToFit="false"/>
      <protection locked="true" hidden="false"/>
    </xf>
    <xf numFmtId="170" fontId="8" fillId="0" borderId="1" xfId="0" applyFont="true" applyBorder="true" applyAlignment="true" applyProtection="false">
      <alignment horizontal="general" vertical="top" textRotation="0" wrapText="false" indent="0" shrinkToFit="false"/>
      <protection locked="true" hidden="false"/>
    </xf>
    <xf numFmtId="164" fontId="8" fillId="10"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false" indent="0" shrinkToFit="false"/>
      <protection locked="true" hidden="false"/>
    </xf>
    <xf numFmtId="165" fontId="8" fillId="10" borderId="1" xfId="0" applyFont="true" applyBorder="true" applyAlignment="true" applyProtection="false">
      <alignment horizontal="general" vertical="top" textRotation="0" wrapText="false" indent="0" shrinkToFit="false"/>
      <protection locked="true" hidden="false"/>
    </xf>
    <xf numFmtId="165" fontId="8" fillId="11" borderId="1" xfId="0" applyFont="true" applyBorder="true" applyAlignment="true" applyProtection="false">
      <alignment horizontal="general" vertical="top" textRotation="0" wrapText="false" indent="0" shrinkToFit="false"/>
      <protection locked="true" hidden="false"/>
    </xf>
    <xf numFmtId="170" fontId="16" fillId="12"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404040"/>
          <bgColor rgb="FF000000"/>
        </patternFill>
      </fill>
    </dxf>
    <dxf>
      <fill>
        <patternFill patternType="solid">
          <bgColor rgb="FF000000"/>
        </patternFill>
      </fill>
    </dxf>
    <dxf>
      <fill>
        <patternFill patternType="solid">
          <fgColor rgb="FFFFFFFF"/>
          <bgColor rgb="FF000000"/>
        </patternFill>
      </fill>
    </dxf>
    <dxf>
      <fill>
        <patternFill patternType="solid">
          <fgColor rgb="FF1F4E79"/>
          <bgColor rgb="FF000000"/>
        </patternFill>
      </fill>
    </dxf>
    <dxf>
      <fill>
        <patternFill patternType="solid">
          <fgColor rgb="FF548235"/>
          <bgColor rgb="FF000000"/>
        </patternFill>
      </fill>
    </dxf>
    <dxf>
      <fill>
        <patternFill patternType="solid">
          <fgColor rgb="FF2E75B6"/>
          <bgColor rgb="FF000000"/>
        </patternFill>
      </fill>
    </dxf>
    <dxf>
      <fill>
        <patternFill patternType="solid">
          <fgColor rgb="FFFCE4D6"/>
          <bgColor rgb="FF000000"/>
        </patternFill>
      </fill>
    </dxf>
    <dxf>
      <fill>
        <patternFill patternType="solid">
          <fgColor rgb="FFC55A11"/>
          <bgColor rgb="FF000000"/>
        </patternFill>
      </fill>
    </dxf>
    <dxf>
      <fill>
        <patternFill patternType="solid">
          <fgColor rgb="FFC00000"/>
          <bgColor rgb="FF000000"/>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78787"/>
      <rgbColor rgb="FF9999FF"/>
      <rgbColor rgb="FFC0504D"/>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E2EFDA"/>
      <rgbColor rgb="FFFFFF99"/>
      <rgbColor rgb="FF99CCFF"/>
      <rgbColor rgb="FFFF99CC"/>
      <rgbColor rgb="FFCC99FF"/>
      <rgbColor rgb="FFFCE4D6"/>
      <rgbColor rgb="FF2E75B6"/>
      <rgbColor rgb="FF33CCCC"/>
      <rgbColor rgb="FF99CC00"/>
      <rgbColor rgb="FFFFCC00"/>
      <rgbColor rgb="FFFF9900"/>
      <rgbColor rgb="FFC55A11"/>
      <rgbColor rgb="FF595959"/>
      <rgbColor rgb="FF969696"/>
      <rgbColor rgb="FF003366"/>
      <rgbColor rgb="FF4F81BD"/>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Shipment routing outcomes (30 shipments)</a:t>
            </a:r>
          </a:p>
        </c:rich>
      </c:tx>
      <c:overlay val="0"/>
      <c:spPr>
        <a:noFill/>
        <a:ln w="0">
          <a:noFill/>
        </a:ln>
      </c:spPr>
    </c:title>
    <c:autoTitleDeleted val="0"/>
    <c:plotArea>
      <c:barChart>
        <c:barDir val="bar"/>
        <c:grouping val="clustered"/>
        <c:varyColors val="0"/>
        <c:ser>
          <c:idx val="0"/>
          <c:order val="0"/>
          <c:tx>
            <c:strRef>
              <c:f>KPI_Dashboard!B44</c:f>
              <c:strCache>
                <c:ptCount val="1"/>
                <c:pt idx="0">
                  <c:v>Shipments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KPI_Dashboard!$A$45:$A$48</c:f>
              <c:strCache>
                <c:ptCount val="4"/>
                <c:pt idx="0">
                  <c:v>Correct – straight-through</c:v>
                </c:pt>
                <c:pt idx="1">
                  <c:v>Correct – caught</c:v>
                </c:pt>
                <c:pt idx="2">
                  <c:v>Unnecessary review</c:v>
                </c:pt>
                <c:pt idx="3">
                  <c:v>MISSED – wrongly auto-processed</c:v>
                </c:pt>
              </c:strCache>
            </c:strRef>
          </c:cat>
          <c:val>
            <c:numRef>
              <c:f>KPI_Dashboard!$B$45:$B$48</c:f>
              <c:numCache>
                <c:formatCode>General</c:formatCode>
                <c:ptCount val="4"/>
                <c:pt idx="0">
                  <c:v>13</c:v>
                </c:pt>
                <c:pt idx="1">
                  <c:v>11</c:v>
                </c:pt>
                <c:pt idx="2">
                  <c:v>4</c:v>
                </c:pt>
                <c:pt idx="3">
                  <c:v>2</c:v>
                </c:pt>
              </c:numCache>
            </c:numRef>
          </c:val>
        </c:ser>
        <c:gapWidth val="150"/>
        <c:overlap val="0"/>
        <c:axId val="55773115"/>
        <c:axId val="89130814"/>
      </c:barChart>
      <c:catAx>
        <c:axId val="5577311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130814"/>
        <c:crosses val="autoZero"/>
        <c:auto val="1"/>
        <c:lblAlgn val="ctr"/>
        <c:lblOffset val="100"/>
        <c:noMultiLvlLbl val="0"/>
      </c:catAx>
      <c:valAx>
        <c:axId val="8913081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77311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SKU classification: ground truth vs system</a:t>
            </a:r>
          </a:p>
        </c:rich>
      </c:tx>
      <c:overlay val="0"/>
      <c:spPr>
        <a:noFill/>
        <a:ln w="0">
          <a:noFill/>
        </a:ln>
      </c:spPr>
    </c:title>
    <c:autoTitleDeleted val="0"/>
    <c:plotArea>
      <c:barChart>
        <c:barDir val="col"/>
        <c:grouping val="clustered"/>
        <c:varyColors val="0"/>
        <c:ser>
          <c:idx val="0"/>
          <c:order val="0"/>
          <c:tx>
            <c:strRef>
              <c:f>"Ground truth"</c:f>
              <c:strCache>
                <c:ptCount val="1"/>
                <c:pt idx="0">
                  <c:v>Ground truth</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KPI_Dashboard!$A$11:$A$13</c:f>
              <c:strCache>
                <c:ptCount val="3"/>
                <c:pt idx="0">
                  <c:v>Existing SKUs</c:v>
                </c:pt>
                <c:pt idx="1">
                  <c:v>Potential new SKUs</c:v>
                </c:pt>
                <c:pt idx="2">
                  <c:v>Ambiguous SKUs</c:v>
                </c:pt>
              </c:strCache>
            </c:strRef>
          </c:cat>
          <c:val>
            <c:numRef>
              <c:f>KPI_Dashboard!$B$11:$B$13</c:f>
              <c:numCache>
                <c:formatCode>#,##0</c:formatCode>
                <c:ptCount val="3"/>
                <c:pt idx="0">
                  <c:v>96</c:v>
                </c:pt>
                <c:pt idx="1">
                  <c:v>4</c:v>
                </c:pt>
                <c:pt idx="2">
                  <c:v>3</c:v>
                </c:pt>
              </c:numCache>
            </c:numRef>
          </c:val>
        </c:ser>
        <c:ser>
          <c:idx val="1"/>
          <c:order val="1"/>
          <c:tx>
            <c:strRef>
              <c:f>"System output"</c:f>
              <c:strCache>
                <c:ptCount val="1"/>
                <c:pt idx="0">
                  <c:v>System output</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KPI_Dashboard!$A$11:$A$13</c:f>
              <c:strCache>
                <c:ptCount val="3"/>
                <c:pt idx="0">
                  <c:v>Existing SKUs</c:v>
                </c:pt>
                <c:pt idx="1">
                  <c:v>Potential new SKUs</c:v>
                </c:pt>
                <c:pt idx="2">
                  <c:v>Ambiguous SKUs</c:v>
                </c:pt>
              </c:strCache>
            </c:strRef>
          </c:cat>
          <c:val>
            <c:numRef>
              <c:f>KPI_Dashboard!$C$11:$C$13</c:f>
              <c:numCache>
                <c:formatCode>#,##0</c:formatCode>
                <c:ptCount val="3"/>
                <c:pt idx="0">
                  <c:v>96</c:v>
                </c:pt>
                <c:pt idx="1">
                  <c:v>3</c:v>
                </c:pt>
                <c:pt idx="2">
                  <c:v>4</c:v>
                </c:pt>
              </c:numCache>
            </c:numRef>
          </c:val>
        </c:ser>
        <c:gapWidth val="150"/>
        <c:overlap val="0"/>
        <c:axId val="6322368"/>
        <c:axId val="60814490"/>
      </c:barChart>
      <c:catAx>
        <c:axId val="632236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814490"/>
        <c:crosses val="autoZero"/>
        <c:auto val="1"/>
        <c:lblAlgn val="ctr"/>
        <c:lblOffset val="100"/>
        <c:noMultiLvlLbl val="0"/>
      </c:catAx>
      <c:valAx>
        <c:axId val="60814490"/>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2236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20</xdr:row>
      <xdr:rowOff>67320</xdr:rowOff>
    </xdr:from>
    <xdr:to>
      <xdr:col>15</xdr:col>
      <xdr:colOff>255960</xdr:colOff>
      <xdr:row>33</xdr:row>
      <xdr:rowOff>110520</xdr:rowOff>
    </xdr:to>
    <xdr:graphicFrame>
      <xdr:nvGraphicFramePr>
        <xdr:cNvPr id="0" name="Chart 1"/>
        <xdr:cNvGraphicFramePr/>
      </xdr:nvGraphicFramePr>
      <xdr:xfrm>
        <a:off x="11184120" y="4210200"/>
        <a:ext cx="57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3</xdr:row>
      <xdr:rowOff>370440</xdr:rowOff>
    </xdr:from>
    <xdr:to>
      <xdr:col>15</xdr:col>
      <xdr:colOff>255960</xdr:colOff>
      <xdr:row>16</xdr:row>
      <xdr:rowOff>110520</xdr:rowOff>
    </xdr:to>
    <xdr:graphicFrame>
      <xdr:nvGraphicFramePr>
        <xdr:cNvPr id="1" name="Chart 2"/>
        <xdr:cNvGraphicFramePr/>
      </xdr:nvGraphicFramePr>
      <xdr:xfrm>
        <a:off x="11184120" y="971640"/>
        <a:ext cx="575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5" hidden="false" customHeight="false" outlineLevel="0" collapsed="false">
      <c r="A1" s="1" t="s">
        <v>0</v>
      </c>
      <c r="B1" s="1"/>
      <c r="C1" s="1"/>
      <c r="D1" s="1"/>
      <c r="E1" s="1"/>
      <c r="F1" s="1"/>
      <c r="G1" s="1"/>
      <c r="H1" s="1"/>
    </row>
    <row r="2" customFormat="false" ht="17.35" hidden="false" customHeight="false" outlineLevel="0" collapsed="false">
      <c r="A2" s="2" t="s">
        <v>1</v>
      </c>
    </row>
    <row r="3" customFormat="false" ht="15" hidden="false" customHeight="false" outlineLevel="0" collapsed="false">
      <c r="A3" s="3" t="s">
        <v>2</v>
      </c>
    </row>
    <row r="5" customFormat="false" ht="30" hidden="false" customHeight="true" outlineLevel="0" collapsed="false">
      <c r="A5" s="4" t="s">
        <v>3</v>
      </c>
      <c r="B5" s="5" t="s">
        <v>4</v>
      </c>
    </row>
    <row r="6" customFormat="false" ht="30" hidden="false" customHeight="true" outlineLevel="0" collapsed="false">
      <c r="A6" s="4" t="s">
        <v>5</v>
      </c>
      <c r="B6" s="5" t="s">
        <v>6</v>
      </c>
    </row>
    <row r="7" customFormat="false" ht="30" hidden="false" customHeight="true" outlineLevel="0" collapsed="false">
      <c r="A7" s="4" t="s">
        <v>7</v>
      </c>
      <c r="B7" s="5" t="s">
        <v>8</v>
      </c>
    </row>
    <row r="8" customFormat="false" ht="30" hidden="false" customHeight="true" outlineLevel="0" collapsed="false">
      <c r="A8" s="4" t="s">
        <v>9</v>
      </c>
      <c r="B8" s="5" t="s">
        <v>10</v>
      </c>
    </row>
    <row r="9" customFormat="false" ht="30" hidden="false" customHeight="true" outlineLevel="0" collapsed="false">
      <c r="A9" s="4" t="s">
        <v>11</v>
      </c>
      <c r="B9" s="5" t="s">
        <v>12</v>
      </c>
    </row>
    <row r="10" customFormat="false" ht="30" hidden="false" customHeight="true" outlineLevel="0" collapsed="false">
      <c r="A10" s="4" t="s">
        <v>13</v>
      </c>
      <c r="B10" s="5" t="s">
        <v>14</v>
      </c>
    </row>
    <row r="11" customFormat="false" ht="30" hidden="false" customHeight="true" outlineLevel="0" collapsed="false">
      <c r="A11" s="4" t="s">
        <v>15</v>
      </c>
      <c r="B11" s="5" t="s">
        <v>16</v>
      </c>
    </row>
    <row r="12" customFormat="false" ht="30" hidden="false" customHeight="true" outlineLevel="0" collapsed="false">
      <c r="A12" s="4" t="s">
        <v>17</v>
      </c>
      <c r="B12" s="5" t="s">
        <v>18</v>
      </c>
    </row>
    <row r="13" customFormat="false" ht="30" hidden="false" customHeight="true" outlineLevel="0" collapsed="false">
      <c r="A13" s="4" t="s">
        <v>19</v>
      </c>
      <c r="B13" s="5" t="s">
        <v>20</v>
      </c>
    </row>
    <row r="14" customFormat="false" ht="30" hidden="false" customHeight="true" outlineLevel="0" collapsed="false">
      <c r="A14" s="4" t="s">
        <v>21</v>
      </c>
      <c r="B14" s="5" t="s">
        <v>22</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H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4"/>
    <col collapsed="false" customWidth="true" hidden="false" outlineLevel="0" max="5" min="5" style="0" width="62"/>
  </cols>
  <sheetData>
    <row r="1" customFormat="false" ht="15" hidden="false" customHeight="false" outlineLevel="0" collapsed="false">
      <c r="A1" s="1" t="s">
        <v>0</v>
      </c>
      <c r="B1" s="1"/>
      <c r="C1" s="1"/>
      <c r="D1" s="1"/>
      <c r="E1" s="1"/>
      <c r="F1" s="1"/>
      <c r="G1" s="1"/>
      <c r="H1" s="1"/>
    </row>
    <row r="2" customFormat="false" ht="17.35" hidden="false" customHeight="false" outlineLevel="0" collapsed="false">
      <c r="A2" s="2" t="s">
        <v>23</v>
      </c>
    </row>
    <row r="3" customFormat="false" ht="15" hidden="false" customHeight="false" outlineLevel="0" collapsed="false">
      <c r="A3" s="3" t="s">
        <v>24</v>
      </c>
    </row>
    <row r="4" customFormat="false" ht="31.5" hidden="false" customHeight="true" outlineLevel="0" collapsed="false">
      <c r="A4" s="6" t="s">
        <v>25</v>
      </c>
      <c r="B4" s="6" t="s">
        <v>26</v>
      </c>
      <c r="C4" s="6" t="s">
        <v>27</v>
      </c>
      <c r="D4" s="6" t="s">
        <v>28</v>
      </c>
      <c r="E4" s="6" t="s">
        <v>29</v>
      </c>
    </row>
    <row r="5" customFormat="false" ht="15" hidden="false" customHeight="false" outlineLevel="0" collapsed="false">
      <c r="A5" s="7" t="s">
        <v>30</v>
      </c>
      <c r="B5" s="8"/>
      <c r="C5" s="8"/>
      <c r="D5" s="8"/>
      <c r="E5" s="8"/>
    </row>
    <row r="6" customFormat="false" ht="15" hidden="false" customHeight="false" outlineLevel="0" collapsed="false">
      <c r="A6" s="9" t="s">
        <v>31</v>
      </c>
      <c r="B6" s="10"/>
      <c r="C6" s="10" t="n">
        <f aca="false">COUNTA(Shipment_Summary!$A$5:$A$34)</f>
        <v>30</v>
      </c>
      <c r="D6" s="11"/>
      <c r="E6" s="5" t="s">
        <v>32</v>
      </c>
    </row>
    <row r="7" customFormat="false" ht="15" hidden="false" customHeight="false" outlineLevel="0" collapsed="false">
      <c r="A7" s="9" t="s">
        <v>33</v>
      </c>
      <c r="B7" s="10"/>
      <c r="C7" s="10" t="n">
        <f aca="false">COUNTA(Documents!$A$5:$A$83)</f>
        <v>79</v>
      </c>
      <c r="D7" s="11"/>
      <c r="E7" s="5" t="s">
        <v>34</v>
      </c>
    </row>
    <row r="8" customFormat="false" ht="22.35" hidden="false" customHeight="false" outlineLevel="0" collapsed="false">
      <c r="A8" s="9" t="s">
        <v>35</v>
      </c>
      <c r="B8" s="10" t="n">
        <f aca="false">COUNTIF(Documents!$H$5:$H$83,"Yes")</f>
        <v>76</v>
      </c>
      <c r="C8" s="10" t="n">
        <f aca="false">COUNTIF(Documents!$J$5:$J$83,"&lt;&gt;Not Relevant")</f>
        <v>77</v>
      </c>
      <c r="D8" s="11"/>
      <c r="E8" s="5" t="s">
        <v>36</v>
      </c>
    </row>
    <row r="9" customFormat="false" ht="15" hidden="false" customHeight="false" outlineLevel="0" collapsed="false">
      <c r="A9" s="9" t="s">
        <v>37</v>
      </c>
      <c r="B9" s="10"/>
      <c r="C9" s="10" t="n">
        <f aca="false">COUNTA(Line_Items!$A$5:$A$107)</f>
        <v>103</v>
      </c>
      <c r="D9" s="11"/>
      <c r="E9" s="5" t="s">
        <v>38</v>
      </c>
    </row>
    <row r="10" customFormat="false" ht="15" hidden="false" customHeight="false" outlineLevel="0" collapsed="false">
      <c r="A10" s="7" t="s">
        <v>39</v>
      </c>
      <c r="B10" s="8"/>
      <c r="C10" s="8"/>
      <c r="D10" s="8"/>
      <c r="E10" s="8"/>
    </row>
    <row r="11" customFormat="false" ht="15" hidden="false" customHeight="false" outlineLevel="0" collapsed="false">
      <c r="A11" s="9" t="s">
        <v>40</v>
      </c>
      <c r="B11" s="10" t="n">
        <f aca="false">COUNTIF(Line_Items!$M$5:$M$107,"Existing")</f>
        <v>96</v>
      </c>
      <c r="C11" s="10" t="n">
        <f aca="false">COUNTIF(Line_Items!$S$5:$S$107,"Existing")</f>
        <v>96</v>
      </c>
      <c r="D11" s="11"/>
      <c r="E11" s="5" t="s">
        <v>41</v>
      </c>
    </row>
    <row r="12" customFormat="false" ht="15" hidden="false" customHeight="false" outlineLevel="0" collapsed="false">
      <c r="A12" s="9" t="s">
        <v>42</v>
      </c>
      <c r="B12" s="10" t="n">
        <f aca="false">COUNTIF(Line_Items!$M$5:$M$107,"New")</f>
        <v>4</v>
      </c>
      <c r="C12" s="10" t="n">
        <f aca="false">COUNTIF(Line_Items!$S$5:$S$107,"New")</f>
        <v>3</v>
      </c>
      <c r="D12" s="11"/>
      <c r="E12" s="5" t="s">
        <v>43</v>
      </c>
    </row>
    <row r="13" customFormat="false" ht="15" hidden="false" customHeight="false" outlineLevel="0" collapsed="false">
      <c r="A13" s="9" t="s">
        <v>44</v>
      </c>
      <c r="B13" s="10" t="n">
        <f aca="false">COUNTIF(Line_Items!$M$5:$M$107,"Ambiguous")</f>
        <v>3</v>
      </c>
      <c r="C13" s="10" t="n">
        <f aca="false">COUNTIF(Line_Items!$S$5:$S$107,"Ambiguous")</f>
        <v>4</v>
      </c>
      <c r="D13" s="11"/>
      <c r="E13" s="5" t="s">
        <v>45</v>
      </c>
    </row>
    <row r="14" customFormat="false" ht="15" hidden="false" customHeight="false" outlineLevel="0" collapsed="false">
      <c r="A14" s="7" t="s">
        <v>46</v>
      </c>
      <c r="B14" s="8"/>
      <c r="C14" s="8"/>
      <c r="D14" s="8"/>
      <c r="E14" s="8"/>
    </row>
    <row r="15" customFormat="false" ht="15" hidden="false" customHeight="false" outlineLevel="0" collapsed="false">
      <c r="A15" s="9" t="s">
        <v>47</v>
      </c>
      <c r="B15" s="10" t="n">
        <f aca="false">COUNTIF(Exceptions!$H$5:$H$11,"Yes")</f>
        <v>6</v>
      </c>
      <c r="C15" s="10" t="n">
        <f aca="false">COUNTIF(Exceptions!$I$5:$I$11,"Yes")</f>
        <v>6</v>
      </c>
      <c r="D15" s="11"/>
      <c r="E15" s="5" t="s">
        <v>48</v>
      </c>
    </row>
    <row r="16" customFormat="false" ht="15" hidden="false" customHeight="false" outlineLevel="0" collapsed="false">
      <c r="A16" s="9" t="s">
        <v>49</v>
      </c>
      <c r="B16" s="10"/>
      <c r="C16" s="10" t="n">
        <f aca="false">COUNTIF(Exceptions!$J$5:$J$11,"Detected")</f>
        <v>5</v>
      </c>
      <c r="D16" s="11"/>
      <c r="E16" s="5" t="s">
        <v>50</v>
      </c>
    </row>
    <row r="17" customFormat="false" ht="15" hidden="false" customHeight="false" outlineLevel="0" collapsed="false">
      <c r="A17" s="9" t="s">
        <v>51</v>
      </c>
      <c r="B17" s="10"/>
      <c r="C17" s="10" t="n">
        <f aca="false">COUNTIF(Exceptions!$J$5:$J$11,"MISSED")</f>
        <v>1</v>
      </c>
      <c r="D17" s="11"/>
      <c r="E17" s="5" t="s">
        <v>52</v>
      </c>
    </row>
    <row r="18" customFormat="false" ht="15" hidden="false" customHeight="false" outlineLevel="0" collapsed="false">
      <c r="A18" s="9" t="s">
        <v>53</v>
      </c>
      <c r="B18" s="10"/>
      <c r="C18" s="10" t="n">
        <f aca="false">COUNTIF(Exceptions!$J$5:$J$11,"False alarm")</f>
        <v>1</v>
      </c>
      <c r="D18" s="11"/>
      <c r="E18" s="5" t="s">
        <v>54</v>
      </c>
    </row>
    <row r="19" customFormat="false" ht="15" hidden="false" customHeight="false" outlineLevel="0" collapsed="false">
      <c r="A19" s="7" t="s">
        <v>55</v>
      </c>
      <c r="B19" s="8"/>
      <c r="C19" s="8"/>
      <c r="D19" s="8"/>
      <c r="E19" s="8"/>
    </row>
    <row r="20" customFormat="false" ht="15" hidden="false" customHeight="false" outlineLevel="0" collapsed="false">
      <c r="A20" s="9" t="s">
        <v>56</v>
      </c>
      <c r="B20" s="10"/>
      <c r="C20" s="10"/>
      <c r="D20" s="11" t="n">
        <f aca="false">SUM(Documents!$M$5:$M$83)/COUNT(Documents!$M$5:$M$83)</f>
        <v>0.974683544303797</v>
      </c>
      <c r="E20" s="5" t="s">
        <v>57</v>
      </c>
    </row>
    <row r="21" customFormat="false" ht="15" hidden="false" customHeight="false" outlineLevel="0" collapsed="false">
      <c r="A21" s="9" t="s">
        <v>58</v>
      </c>
      <c r="B21" s="10"/>
      <c r="C21" s="10"/>
      <c r="D21" s="11" t="n">
        <f aca="false">SUM(Line_Items!$AC$5:$AC$107)/COUNT(Line_Items!$AC$5:$AC$107)</f>
        <v>0.980582524271845</v>
      </c>
      <c r="E21" s="5" t="s">
        <v>59</v>
      </c>
    </row>
    <row r="22" customFormat="false" ht="15" hidden="false" customHeight="false" outlineLevel="0" collapsed="false">
      <c r="A22" s="9" t="s">
        <v>60</v>
      </c>
      <c r="B22" s="10"/>
      <c r="C22" s="10"/>
      <c r="D22" s="11" t="n">
        <f aca="false">SUM(Line_Items!$AB$5:$AB$107)/COUNT(Line_Items!$AB$5:$AB$107)</f>
        <v>1</v>
      </c>
      <c r="E22" s="5" t="s">
        <v>61</v>
      </c>
    </row>
    <row r="23" customFormat="false" ht="15" hidden="false" customHeight="false" outlineLevel="0" collapsed="false">
      <c r="A23" s="9" t="s">
        <v>62</v>
      </c>
      <c r="B23" s="10"/>
      <c r="C23" s="10"/>
      <c r="D23" s="11" t="n">
        <f aca="false">SUM(Line_Items!$Z$5:$Z$107)/COUNT(Line_Items!$Z$5:$Z$107)</f>
        <v>0.970873786407767</v>
      </c>
      <c r="E23" s="5" t="s">
        <v>63</v>
      </c>
    </row>
    <row r="24" customFormat="false" ht="15" hidden="false" customHeight="false" outlineLevel="0" collapsed="false">
      <c r="A24" s="9" t="s">
        <v>64</v>
      </c>
      <c r="B24" s="10"/>
      <c r="C24" s="10"/>
      <c r="D24" s="11" t="n">
        <f aca="false">SUM(Line_Items!$AA$5:$AA$107)/COUNT(Line_Items!$AA$5:$AA$107)</f>
        <v>0.990291262135922</v>
      </c>
      <c r="E24" s="5" t="s">
        <v>65</v>
      </c>
    </row>
    <row r="25" customFormat="false" ht="15" hidden="false" customHeight="false" outlineLevel="0" collapsed="false">
      <c r="A25" s="9" t="s">
        <v>66</v>
      </c>
      <c r="B25" s="10"/>
      <c r="C25" s="10"/>
      <c r="D25" s="11" t="n">
        <f aca="false">COUNTIF(Exceptions!$J$5:$J$11,"Detected")/COUNTIF(Exceptions!$H$5:$H$11,"Yes")</f>
        <v>0.833333333333333</v>
      </c>
      <c r="E25" s="5" t="s">
        <v>67</v>
      </c>
    </row>
    <row r="26" customFormat="false" ht="15" hidden="false" customHeight="false" outlineLevel="0" collapsed="false">
      <c r="A26" s="9" t="s">
        <v>68</v>
      </c>
      <c r="B26" s="10"/>
      <c r="C26" s="10"/>
      <c r="D26" s="11" t="n">
        <f aca="false">COUNTIF(Exceptions!$J$5:$J$11,"Detected")/COUNTIF(Exceptions!$I$5:$I$11,"Yes")</f>
        <v>0.833333333333333</v>
      </c>
      <c r="E26" s="5" t="s">
        <v>69</v>
      </c>
    </row>
    <row r="27" customFormat="false" ht="15" hidden="false" customHeight="false" outlineLevel="0" collapsed="false">
      <c r="A27" s="7" t="s">
        <v>70</v>
      </c>
      <c r="B27" s="8"/>
      <c r="C27" s="8"/>
      <c r="D27" s="8"/>
      <c r="E27" s="8"/>
    </row>
    <row r="28" customFormat="false" ht="15" hidden="false" customHeight="false" outlineLevel="0" collapsed="false">
      <c r="A28" s="9" t="s">
        <v>71</v>
      </c>
      <c r="B28" s="10"/>
      <c r="C28" s="10" t="n">
        <f aca="false">COUNTIF(Line_Items!$X$5:$X$107,"Auto-processed")</f>
        <v>91</v>
      </c>
      <c r="D28" s="11" t="n">
        <f aca="false">C28/C9</f>
        <v>0.883495145631068</v>
      </c>
      <c r="E28" s="5" t="s">
        <v>72</v>
      </c>
    </row>
    <row r="29" customFormat="false" ht="15" hidden="false" customHeight="false" outlineLevel="0" collapsed="false">
      <c r="A29" s="9" t="s">
        <v>73</v>
      </c>
      <c r="B29" s="10"/>
      <c r="C29" s="10" t="n">
        <f aca="false">COUNTIF(Line_Items!$X$5:$X$107,"&lt;&gt;Auto-processed")</f>
        <v>12</v>
      </c>
      <c r="D29" s="11" t="n">
        <f aca="false">C29/C9</f>
        <v>0.116504854368932</v>
      </c>
      <c r="E29" s="5" t="s">
        <v>74</v>
      </c>
    </row>
    <row r="30" customFormat="false" ht="15" hidden="false" customHeight="false" outlineLevel="0" collapsed="false">
      <c r="A30" s="9" t="s">
        <v>75</v>
      </c>
      <c r="B30" s="10" t="n">
        <f aca="false">COUNTIF(Shipment_Summary!$N$5:$N$34,"Clean")</f>
        <v>17</v>
      </c>
      <c r="C30" s="10" t="n">
        <f aca="false">COUNTIF(Shipment_Summary!$O$5:$O$34,"Auto-processed")</f>
        <v>15</v>
      </c>
      <c r="D30" s="11"/>
      <c r="E30" s="5" t="s">
        <v>76</v>
      </c>
    </row>
    <row r="31" customFormat="false" ht="15" hidden="false" customHeight="false" outlineLevel="0" collapsed="false">
      <c r="A31" s="9" t="s">
        <v>77</v>
      </c>
      <c r="B31" s="10" t="n">
        <f aca="false">COUNTIF(Shipment_Summary!$N$5:$N$34,"Requires review")</f>
        <v>13</v>
      </c>
      <c r="C31" s="10" t="n">
        <f aca="false">COUNTIF(Shipment_Summary!$O$5:$O$34,"Human review")</f>
        <v>15</v>
      </c>
      <c r="D31" s="11"/>
      <c r="E31" s="5"/>
    </row>
    <row r="32" customFormat="false" ht="15" hidden="false" customHeight="false" outlineLevel="0" collapsed="false">
      <c r="A32" s="9" t="s">
        <v>78</v>
      </c>
      <c r="B32" s="10"/>
      <c r="C32" s="10"/>
      <c r="D32" s="11" t="n">
        <f aca="false">(COUNTIF(Shipment_Summary!$P$5:$P$34,"Correct – straight-through")+COUNTIF(Shipment_Summary!$P$5:$P$34,"Correct – caught"))/COUNTA(Shipment_Summary!$A$5:$A$34)</f>
        <v>0.8</v>
      </c>
      <c r="E32" s="5" t="s">
        <v>79</v>
      </c>
    </row>
    <row r="33" customFormat="false" ht="15" hidden="false" customHeight="false" outlineLevel="0" collapsed="false">
      <c r="A33" s="9" t="s">
        <v>80</v>
      </c>
      <c r="B33" s="10"/>
      <c r="C33" s="10" t="n">
        <f aca="false">COUNTIF(Shipment_Summary!$P$5:$P$34,"Correct – straight-through")</f>
        <v>13</v>
      </c>
      <c r="D33" s="11"/>
      <c r="E33" s="5" t="s">
        <v>81</v>
      </c>
    </row>
    <row r="34" customFormat="false" ht="15" hidden="false" customHeight="false" outlineLevel="0" collapsed="false">
      <c r="A34" s="12" t="s">
        <v>82</v>
      </c>
      <c r="B34" s="10"/>
      <c r="C34" s="10" t="n">
        <f aca="false">COUNTIF(Shipment_Summary!$P$5:$P$34,"MISSED – wrongly auto-processed")</f>
        <v>2</v>
      </c>
      <c r="D34" s="11"/>
      <c r="E34" s="5" t="s">
        <v>83</v>
      </c>
    </row>
    <row r="36" customFormat="false" ht="15" hidden="false" customHeight="false" outlineLevel="0" collapsed="false">
      <c r="A36" s="13" t="s">
        <v>84</v>
      </c>
    </row>
    <row r="37" customFormat="false" ht="31.5" hidden="false" customHeight="true" outlineLevel="0" collapsed="false">
      <c r="A37" s="6" t="s">
        <v>85</v>
      </c>
      <c r="B37" s="6" t="s">
        <v>86</v>
      </c>
      <c r="C37" s="6" t="s">
        <v>87</v>
      </c>
      <c r="D37" s="6" t="s">
        <v>88</v>
      </c>
      <c r="E37" s="6" t="s">
        <v>89</v>
      </c>
    </row>
    <row r="38" customFormat="false" ht="15" hidden="false" customHeight="false" outlineLevel="0" collapsed="false">
      <c r="A38" s="4" t="s">
        <v>86</v>
      </c>
      <c r="B38" s="14" t="n">
        <f aca="false">COUNTIFS(Line_Items!$M$5:$M$107,"Existing",Line_Items!$S$5:$S$107,"Existing")</f>
        <v>95</v>
      </c>
      <c r="C38" s="9" t="n">
        <f aca="false">COUNTIFS(Line_Items!$M$5:$M$107,"Existing",Line_Items!$S$5:$S$107,"New")</f>
        <v>0</v>
      </c>
      <c r="D38" s="9" t="n">
        <f aca="false">COUNTIFS(Line_Items!$M$5:$M$107,"Existing",Line_Items!$S$5:$S$107,"Ambiguous")</f>
        <v>1</v>
      </c>
      <c r="E38" s="5" t="s">
        <v>90</v>
      </c>
    </row>
    <row r="39" customFormat="false" ht="15" hidden="false" customHeight="false" outlineLevel="0" collapsed="false">
      <c r="A39" s="4" t="s">
        <v>87</v>
      </c>
      <c r="B39" s="9" t="n">
        <f aca="false">COUNTIFS(Line_Items!$M$5:$M$107,"New",Line_Items!$S$5:$S$107,"Existing")</f>
        <v>0</v>
      </c>
      <c r="C39" s="14" t="n">
        <f aca="false">COUNTIFS(Line_Items!$M$5:$M$107,"New",Line_Items!$S$5:$S$107,"New")</f>
        <v>3</v>
      </c>
      <c r="D39" s="9" t="n">
        <f aca="false">COUNTIFS(Line_Items!$M$5:$M$107,"New",Line_Items!$S$5:$S$107,"Ambiguous")</f>
        <v>1</v>
      </c>
      <c r="E39" s="5" t="s">
        <v>91</v>
      </c>
    </row>
    <row r="40" customFormat="false" ht="15" hidden="false" customHeight="false" outlineLevel="0" collapsed="false">
      <c r="A40" s="4" t="s">
        <v>88</v>
      </c>
      <c r="B40" s="9" t="n">
        <f aca="false">COUNTIFS(Line_Items!$M$5:$M$107,"Ambiguous",Line_Items!$S$5:$S$107,"Existing")</f>
        <v>1</v>
      </c>
      <c r="C40" s="9" t="n">
        <f aca="false">COUNTIFS(Line_Items!$M$5:$M$107,"Ambiguous",Line_Items!$S$5:$S$107,"New")</f>
        <v>0</v>
      </c>
      <c r="D40" s="14" t="n">
        <f aca="false">COUNTIFS(Line_Items!$M$5:$M$107,"Ambiguous",Line_Items!$S$5:$S$107,"Ambiguous")</f>
        <v>2</v>
      </c>
      <c r="E40" s="5" t="s">
        <v>92</v>
      </c>
    </row>
    <row r="43" customFormat="false" ht="15" hidden="false" customHeight="false" outlineLevel="0" collapsed="false">
      <c r="A43" s="13" t="s">
        <v>93</v>
      </c>
    </row>
    <row r="44" customFormat="false" ht="31.5" hidden="false" customHeight="true" outlineLevel="0" collapsed="false">
      <c r="A44" s="6" t="s">
        <v>94</v>
      </c>
      <c r="B44" s="6" t="s">
        <v>95</v>
      </c>
      <c r="C44" s="6"/>
      <c r="D44" s="6"/>
      <c r="E44" s="6"/>
    </row>
    <row r="45" customFormat="false" ht="15" hidden="false" customHeight="false" outlineLevel="0" collapsed="false">
      <c r="A45" s="9" t="s">
        <v>96</v>
      </c>
      <c r="B45" s="9" t="n">
        <f aca="false">COUNTIF(Shipment_Summary!$P$5:$P$34,"Correct – straight-through")</f>
        <v>13</v>
      </c>
    </row>
    <row r="46" customFormat="false" ht="15" hidden="false" customHeight="false" outlineLevel="0" collapsed="false">
      <c r="A46" s="9" t="s">
        <v>97</v>
      </c>
      <c r="B46" s="9" t="n">
        <f aca="false">COUNTIF(Shipment_Summary!$P$5:$P$34,"Correct – caught")</f>
        <v>11</v>
      </c>
    </row>
    <row r="47" customFormat="false" ht="15" hidden="false" customHeight="false" outlineLevel="0" collapsed="false">
      <c r="A47" s="9" t="s">
        <v>98</v>
      </c>
      <c r="B47" s="9" t="n">
        <f aca="false">COUNTIF(Shipment_Summary!$P$5:$P$34,"Unnecessary review")</f>
        <v>4</v>
      </c>
    </row>
    <row r="48" customFormat="false" ht="15" hidden="false" customHeight="false" outlineLevel="0" collapsed="false">
      <c r="A48" s="9" t="s">
        <v>99</v>
      </c>
      <c r="B48" s="9" t="n">
        <f aca="false">COUNTIF(Shipment_Summary!$P$5:$P$34,"MISSED – wrongly auto-processed")</f>
        <v>2</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8" topLeftCell="B19" activePane="bottomRight" state="frozen"/>
      <selection pane="topLeft" activeCell="A1" activeCellId="0" sqref="A1"/>
      <selection pane="topRight" activeCell="B1" activeCellId="0" sqref="B1"/>
      <selection pane="bottomLeft" activeCell="A19" activeCellId="0" sqref="A1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6" min="2" style="0" width="44"/>
  </cols>
  <sheetData>
    <row r="1" customFormat="false" ht="15" hidden="false" customHeight="false" outlineLevel="0" collapsed="false">
      <c r="A1" s="1" t="s">
        <v>0</v>
      </c>
      <c r="B1" s="1"/>
      <c r="C1" s="1"/>
      <c r="D1" s="1"/>
      <c r="E1" s="1"/>
      <c r="F1" s="1"/>
      <c r="G1" s="1"/>
      <c r="H1" s="1"/>
    </row>
    <row r="2" customFormat="false" ht="17.35" hidden="false" customHeight="false" outlineLevel="0" collapsed="false">
      <c r="A2" s="2" t="s">
        <v>100</v>
      </c>
    </row>
    <row r="3" customFormat="false" ht="15" hidden="false" customHeight="false" outlineLevel="0" collapsed="false">
      <c r="A3" s="3" t="s">
        <v>101</v>
      </c>
    </row>
    <row r="4" customFormat="false" ht="31.5" hidden="false" customHeight="true" outlineLevel="0" collapsed="false">
      <c r="A4" s="6" t="s">
        <v>102</v>
      </c>
      <c r="B4" s="6" t="s">
        <v>103</v>
      </c>
      <c r="C4" s="6" t="s">
        <v>104</v>
      </c>
      <c r="D4" s="6" t="s">
        <v>105</v>
      </c>
      <c r="E4" s="6" t="s">
        <v>106</v>
      </c>
      <c r="F4" s="6" t="s">
        <v>107</v>
      </c>
    </row>
    <row r="5" customFormat="false" ht="61.5" hidden="false" customHeight="true" outlineLevel="0" collapsed="false">
      <c r="A5" s="15" t="s">
        <v>108</v>
      </c>
      <c r="B5" s="5" t="s">
        <v>109</v>
      </c>
      <c r="C5" s="5" t="s">
        <v>110</v>
      </c>
      <c r="D5" s="5" t="s">
        <v>111</v>
      </c>
      <c r="E5" s="5" t="s">
        <v>112</v>
      </c>
      <c r="F5" s="5" t="s">
        <v>113</v>
      </c>
    </row>
    <row r="6" customFormat="false" ht="61.5" hidden="false" customHeight="true" outlineLevel="0" collapsed="false">
      <c r="A6" s="15" t="s">
        <v>114</v>
      </c>
      <c r="B6" s="5" t="s">
        <v>115</v>
      </c>
      <c r="C6" s="5" t="s">
        <v>116</v>
      </c>
      <c r="D6" s="5" t="s">
        <v>116</v>
      </c>
      <c r="E6" s="5" t="s">
        <v>117</v>
      </c>
      <c r="F6" s="5" t="s">
        <v>118</v>
      </c>
    </row>
    <row r="7" customFormat="false" ht="61.5" hidden="false" customHeight="true" outlineLevel="0" collapsed="false">
      <c r="A7" s="15" t="s">
        <v>119</v>
      </c>
      <c r="B7" s="5" t="s">
        <v>120</v>
      </c>
      <c r="C7" s="5" t="s">
        <v>121</v>
      </c>
      <c r="D7" s="5" t="s">
        <v>122</v>
      </c>
      <c r="E7" s="5" t="s">
        <v>123</v>
      </c>
      <c r="F7" s="5" t="s">
        <v>124</v>
      </c>
    </row>
    <row r="8" customFormat="false" ht="61.5" hidden="false" customHeight="true" outlineLevel="0" collapsed="false">
      <c r="A8" s="15" t="s">
        <v>125</v>
      </c>
      <c r="B8" s="5" t="s">
        <v>126</v>
      </c>
      <c r="C8" s="5" t="s">
        <v>127</v>
      </c>
      <c r="D8" s="5" t="s">
        <v>128</v>
      </c>
      <c r="E8" s="5" t="s">
        <v>129</v>
      </c>
      <c r="F8" s="5" t="s">
        <v>130</v>
      </c>
    </row>
    <row r="9" customFormat="false" ht="61.5" hidden="false" customHeight="true" outlineLevel="0" collapsed="false">
      <c r="A9" s="15" t="s">
        <v>131</v>
      </c>
      <c r="B9" s="5" t="s">
        <v>132</v>
      </c>
      <c r="C9" s="5" t="s">
        <v>133</v>
      </c>
      <c r="D9" s="5" t="s">
        <v>134</v>
      </c>
      <c r="E9" s="5" t="s">
        <v>135</v>
      </c>
      <c r="F9" s="5" t="s">
        <v>136</v>
      </c>
    </row>
    <row r="10" customFormat="false" ht="61.5" hidden="false" customHeight="true" outlineLevel="0" collapsed="false">
      <c r="A10" s="15" t="s">
        <v>137</v>
      </c>
      <c r="B10" s="5" t="s">
        <v>138</v>
      </c>
      <c r="C10" s="5" t="s">
        <v>139</v>
      </c>
      <c r="D10" s="5" t="s">
        <v>140</v>
      </c>
      <c r="E10" s="5" t="s">
        <v>141</v>
      </c>
      <c r="F10" s="5" t="s">
        <v>142</v>
      </c>
    </row>
    <row r="11" customFormat="false" ht="61.5" hidden="false" customHeight="true" outlineLevel="0" collapsed="false">
      <c r="A11" s="15" t="s">
        <v>143</v>
      </c>
      <c r="B11" s="5" t="s">
        <v>144</v>
      </c>
      <c r="C11" s="5" t="s">
        <v>145</v>
      </c>
      <c r="D11" s="5" t="s">
        <v>146</v>
      </c>
      <c r="E11" s="5" t="s">
        <v>147</v>
      </c>
      <c r="F11" s="5" t="s">
        <v>148</v>
      </c>
    </row>
    <row r="12" customFormat="false" ht="61.5" hidden="false" customHeight="true" outlineLevel="0" collapsed="false">
      <c r="A12" s="15" t="s">
        <v>149</v>
      </c>
      <c r="B12" s="5" t="s">
        <v>150</v>
      </c>
      <c r="C12" s="5" t="s">
        <v>151</v>
      </c>
      <c r="D12" s="5" t="s">
        <v>152</v>
      </c>
      <c r="E12" s="5" t="s">
        <v>153</v>
      </c>
      <c r="F12" s="5" t="s">
        <v>154</v>
      </c>
    </row>
    <row r="13" customFormat="false" ht="61.5" hidden="false" customHeight="true" outlineLevel="0" collapsed="false">
      <c r="A13" s="15" t="s">
        <v>155</v>
      </c>
      <c r="B13" s="5" t="s">
        <v>156</v>
      </c>
      <c r="C13" s="5" t="s">
        <v>157</v>
      </c>
      <c r="D13" s="5" t="s">
        <v>158</v>
      </c>
      <c r="E13" s="5" t="s">
        <v>159</v>
      </c>
      <c r="F13" s="5" t="s">
        <v>160</v>
      </c>
    </row>
    <row r="14" customFormat="false" ht="61.5" hidden="false" customHeight="true" outlineLevel="0" collapsed="false">
      <c r="A14" s="15" t="s">
        <v>161</v>
      </c>
      <c r="B14" s="5" t="s">
        <v>162</v>
      </c>
      <c r="C14" s="5" t="s">
        <v>163</v>
      </c>
      <c r="D14" s="5" t="s">
        <v>164</v>
      </c>
      <c r="E14" s="5" t="s">
        <v>165</v>
      </c>
      <c r="F14" s="5" t="s">
        <v>166</v>
      </c>
    </row>
    <row r="15" customFormat="false" ht="61.5" hidden="false" customHeight="true" outlineLevel="0" collapsed="false">
      <c r="A15" s="15" t="s">
        <v>167</v>
      </c>
      <c r="B15" s="16" t="s">
        <v>168</v>
      </c>
      <c r="C15" s="16" t="s">
        <v>169</v>
      </c>
      <c r="D15" s="16" t="s">
        <v>170</v>
      </c>
      <c r="E15" s="16" t="s">
        <v>171</v>
      </c>
      <c r="F15" s="16" t="s">
        <v>172</v>
      </c>
    </row>
    <row r="17" customFormat="false" ht="15" hidden="false" customHeight="false" outlineLevel="0" collapsed="false">
      <c r="A17" s="17" t="s">
        <v>173</v>
      </c>
    </row>
    <row r="18" customFormat="false" ht="31.5" hidden="false" customHeight="true" outlineLevel="0" collapsed="false">
      <c r="A18" s="6" t="s">
        <v>174</v>
      </c>
      <c r="B18" s="6" t="s">
        <v>175</v>
      </c>
      <c r="C18" s="6" t="s">
        <v>176</v>
      </c>
      <c r="D18" s="6" t="s">
        <v>177</v>
      </c>
      <c r="E18" s="6" t="s">
        <v>178</v>
      </c>
      <c r="F18" s="6"/>
    </row>
    <row r="19" customFormat="false" ht="48" hidden="false" customHeight="true" outlineLevel="0" collapsed="false">
      <c r="A19" s="5" t="s">
        <v>179</v>
      </c>
      <c r="B19" s="5" t="s">
        <v>180</v>
      </c>
      <c r="C19" s="5" t="s">
        <v>181</v>
      </c>
      <c r="D19" s="5" t="s">
        <v>182</v>
      </c>
      <c r="E19" s="5" t="s">
        <v>183</v>
      </c>
    </row>
    <row r="20" customFormat="false" ht="48" hidden="false" customHeight="true" outlineLevel="0" collapsed="false">
      <c r="A20" s="5" t="s">
        <v>184</v>
      </c>
      <c r="B20" s="5" t="s">
        <v>185</v>
      </c>
      <c r="C20" s="5" t="s">
        <v>186</v>
      </c>
      <c r="D20" s="5" t="s">
        <v>187</v>
      </c>
      <c r="E20" s="5" t="s">
        <v>188</v>
      </c>
    </row>
    <row r="21" customFormat="false" ht="48" hidden="false" customHeight="true" outlineLevel="0" collapsed="false">
      <c r="A21" s="5" t="s">
        <v>189</v>
      </c>
      <c r="B21" s="5" t="s">
        <v>190</v>
      </c>
      <c r="C21" s="5" t="s">
        <v>191</v>
      </c>
      <c r="D21" s="5" t="s">
        <v>192</v>
      </c>
      <c r="E21" s="5" t="s">
        <v>193</v>
      </c>
    </row>
    <row r="22" customFormat="false" ht="48" hidden="false" customHeight="true" outlineLevel="0" collapsed="false">
      <c r="A22" s="5" t="s">
        <v>194</v>
      </c>
      <c r="B22" s="5" t="s">
        <v>195</v>
      </c>
      <c r="C22" s="5" t="s">
        <v>196</v>
      </c>
      <c r="D22" s="5" t="s">
        <v>197</v>
      </c>
      <c r="E22" s="5" t="s">
        <v>198</v>
      </c>
    </row>
    <row r="23" customFormat="false" ht="48" hidden="false" customHeight="true" outlineLevel="0" collapsed="false">
      <c r="A23" s="5" t="s">
        <v>199</v>
      </c>
      <c r="B23" s="5" t="s">
        <v>200</v>
      </c>
      <c r="C23" s="5" t="s">
        <v>201</v>
      </c>
      <c r="D23" s="5" t="s">
        <v>202</v>
      </c>
      <c r="E23" s="5" t="s">
        <v>203</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K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8"/>
    <col collapsed="false" customWidth="true" hidden="false" outlineLevel="0" max="3" min="3" style="0" width="15"/>
    <col collapsed="false" customWidth="true" hidden="false" outlineLevel="0" max="4" min="4" style="0" width="7"/>
    <col collapsed="false" customWidth="true" hidden="false" outlineLevel="0" max="5" min="5" style="0" width="10"/>
    <col collapsed="false" customWidth="true" hidden="false" outlineLevel="0" max="6" min="6" style="0" width="13"/>
    <col collapsed="false" customWidth="true" hidden="false" outlineLevel="0" max="7" min="7" style="0" width="11"/>
    <col collapsed="false" customWidth="true" hidden="false" outlineLevel="0" max="8" min="8" style="0" width="36"/>
    <col collapsed="false" customWidth="true" hidden="false" outlineLevel="0" max="9" min="9" style="0" width="10"/>
    <col collapsed="false" customWidth="true" hidden="false" outlineLevel="0" max="10" min="10" style="0" width="11"/>
    <col collapsed="false" customWidth="true" hidden="false" outlineLevel="0" max="11" min="11" style="0" width="34"/>
  </cols>
  <sheetData>
    <row r="1" customFormat="false" ht="15" hidden="false" customHeight="false" outlineLevel="0" collapsed="false">
      <c r="A1" s="1" t="s">
        <v>0</v>
      </c>
      <c r="B1" s="1"/>
      <c r="C1" s="1"/>
      <c r="D1" s="1"/>
      <c r="E1" s="1"/>
      <c r="F1" s="1"/>
      <c r="G1" s="1"/>
      <c r="H1" s="1"/>
      <c r="I1" s="1"/>
      <c r="J1" s="1"/>
      <c r="K1" s="1"/>
    </row>
    <row r="2" customFormat="false" ht="17.35" hidden="false" customHeight="false" outlineLevel="0" collapsed="false">
      <c r="A2" s="2" t="s">
        <v>204</v>
      </c>
    </row>
    <row r="3" customFormat="false" ht="15" hidden="false" customHeight="false" outlineLevel="0" collapsed="false">
      <c r="A3" s="3" t="s">
        <v>205</v>
      </c>
    </row>
    <row r="4" customFormat="false" ht="31.5" hidden="false" customHeight="true" outlineLevel="0" collapsed="false">
      <c r="A4" s="6" t="s">
        <v>206</v>
      </c>
      <c r="B4" s="6" t="s">
        <v>207</v>
      </c>
      <c r="C4" s="6" t="s">
        <v>208</v>
      </c>
      <c r="D4" s="6" t="s">
        <v>209</v>
      </c>
      <c r="E4" s="6" t="s">
        <v>210</v>
      </c>
      <c r="F4" s="6" t="s">
        <v>211</v>
      </c>
      <c r="G4" s="6" t="s">
        <v>212</v>
      </c>
      <c r="H4" s="6" t="s">
        <v>213</v>
      </c>
      <c r="I4" s="6" t="s">
        <v>214</v>
      </c>
      <c r="J4" s="6" t="s">
        <v>215</v>
      </c>
      <c r="K4" s="6" t="s">
        <v>216</v>
      </c>
    </row>
    <row r="5" customFormat="false" ht="15" hidden="false" customHeight="false" outlineLevel="0" collapsed="false">
      <c r="A5" s="9" t="s">
        <v>217</v>
      </c>
      <c r="B5" s="9" t="s">
        <v>218</v>
      </c>
      <c r="C5" s="9" t="s">
        <v>219</v>
      </c>
      <c r="D5" s="9" t="s">
        <v>220</v>
      </c>
      <c r="E5" s="9" t="s">
        <v>221</v>
      </c>
      <c r="F5" s="9" t="s">
        <v>222</v>
      </c>
      <c r="G5" s="9" t="s">
        <v>223</v>
      </c>
      <c r="H5" s="9" t="str">
        <f aca="false">INDEX(Suppliers!$B$5:$B$12,MATCH(G5,Suppliers!$A$5:$A$12,0))</f>
        <v>Brightlink Electronics Co. (fictional)</v>
      </c>
      <c r="I5" s="18" t="n">
        <v>1.2</v>
      </c>
      <c r="J5" s="9" t="s">
        <v>224</v>
      </c>
      <c r="K5" s="9" t="s">
        <v>225</v>
      </c>
    </row>
    <row r="6" customFormat="false" ht="15" hidden="false" customHeight="false" outlineLevel="0" collapsed="false">
      <c r="A6" s="9" t="s">
        <v>226</v>
      </c>
      <c r="B6" s="9" t="s">
        <v>227</v>
      </c>
      <c r="C6" s="9" t="s">
        <v>219</v>
      </c>
      <c r="D6" s="9" t="s">
        <v>220</v>
      </c>
      <c r="E6" s="9" t="s">
        <v>221</v>
      </c>
      <c r="F6" s="9" t="s">
        <v>222</v>
      </c>
      <c r="G6" s="9" t="s">
        <v>223</v>
      </c>
      <c r="H6" s="9" t="str">
        <f aca="false">INDEX(Suppliers!$B$5:$B$12,MATCH(G6,Suppliers!$A$5:$A$12,0))</f>
        <v>Brightlink Electronics Co. (fictional)</v>
      </c>
      <c r="I6" s="18" t="n">
        <v>1.35</v>
      </c>
      <c r="J6" s="9" t="s">
        <v>224</v>
      </c>
      <c r="K6" s="9" t="s">
        <v>228</v>
      </c>
    </row>
    <row r="7" customFormat="false" ht="15" hidden="false" customHeight="false" outlineLevel="0" collapsed="false">
      <c r="A7" s="9" t="s">
        <v>229</v>
      </c>
      <c r="B7" s="9" t="s">
        <v>230</v>
      </c>
      <c r="C7" s="9" t="s">
        <v>219</v>
      </c>
      <c r="D7" s="9" t="s">
        <v>220</v>
      </c>
      <c r="E7" s="9" t="s">
        <v>221</v>
      </c>
      <c r="F7" s="9" t="s">
        <v>222</v>
      </c>
      <c r="G7" s="9" t="s">
        <v>223</v>
      </c>
      <c r="H7" s="9" t="str">
        <f aca="false">INDEX(Suppliers!$B$5:$B$12,MATCH(G7,Suppliers!$A$5:$A$12,0))</f>
        <v>Brightlink Electronics Co. (fictional)</v>
      </c>
      <c r="I7" s="18" t="n">
        <v>0.6</v>
      </c>
      <c r="J7" s="9" t="s">
        <v>224</v>
      </c>
      <c r="K7" s="9" t="s">
        <v>231</v>
      </c>
    </row>
    <row r="8" customFormat="false" ht="15" hidden="false" customHeight="false" outlineLevel="0" collapsed="false">
      <c r="A8" s="9" t="s">
        <v>232</v>
      </c>
      <c r="B8" s="9" t="s">
        <v>233</v>
      </c>
      <c r="C8" s="9" t="s">
        <v>219</v>
      </c>
      <c r="D8" s="9" t="s">
        <v>220</v>
      </c>
      <c r="E8" s="9" t="s">
        <v>234</v>
      </c>
      <c r="F8" s="9" t="s">
        <v>222</v>
      </c>
      <c r="G8" s="9" t="s">
        <v>223</v>
      </c>
      <c r="H8" s="9" t="str">
        <f aca="false">INDEX(Suppliers!$B$5:$B$12,MATCH(G8,Suppliers!$A$5:$A$12,0))</f>
        <v>Brightlink Electronics Co. (fictional)</v>
      </c>
      <c r="I8" s="18" t="n">
        <v>0.55</v>
      </c>
      <c r="J8" s="9" t="s">
        <v>224</v>
      </c>
      <c r="K8" s="9"/>
    </row>
    <row r="9" customFormat="false" ht="15" hidden="false" customHeight="false" outlineLevel="0" collapsed="false">
      <c r="A9" s="9" t="s">
        <v>235</v>
      </c>
      <c r="B9" s="9" t="s">
        <v>236</v>
      </c>
      <c r="C9" s="9" t="s">
        <v>219</v>
      </c>
      <c r="D9" s="9" t="s">
        <v>220</v>
      </c>
      <c r="E9" s="9" t="s">
        <v>237</v>
      </c>
      <c r="F9" s="9" t="s">
        <v>222</v>
      </c>
      <c r="G9" s="9" t="s">
        <v>223</v>
      </c>
      <c r="H9" s="9" t="str">
        <f aca="false">INDEX(Suppliers!$B$5:$B$12,MATCH(G9,Suppliers!$A$5:$A$12,0))</f>
        <v>Brightlink Electronics Co. (fictional)</v>
      </c>
      <c r="I9" s="18" t="n">
        <v>0.12</v>
      </c>
      <c r="J9" s="9" t="s">
        <v>224</v>
      </c>
      <c r="K9" s="9" t="s">
        <v>238</v>
      </c>
    </row>
    <row r="10" customFormat="false" ht="15" hidden="false" customHeight="false" outlineLevel="0" collapsed="false">
      <c r="A10" s="9" t="s">
        <v>239</v>
      </c>
      <c r="B10" s="9" t="s">
        <v>240</v>
      </c>
      <c r="C10" s="9" t="s">
        <v>219</v>
      </c>
      <c r="D10" s="9" t="s">
        <v>220</v>
      </c>
      <c r="E10" s="9" t="s">
        <v>237</v>
      </c>
      <c r="F10" s="9" t="s">
        <v>222</v>
      </c>
      <c r="G10" s="9" t="s">
        <v>223</v>
      </c>
      <c r="H10" s="9" t="str">
        <f aca="false">INDEX(Suppliers!$B$5:$B$12,MATCH(G10,Suppliers!$A$5:$A$12,0))</f>
        <v>Brightlink Electronics Co. (fictional)</v>
      </c>
      <c r="I10" s="18" t="n">
        <v>0.12</v>
      </c>
      <c r="J10" s="9" t="s">
        <v>224</v>
      </c>
      <c r="K10" s="9" t="s">
        <v>241</v>
      </c>
    </row>
    <row r="11" customFormat="false" ht="15" hidden="false" customHeight="false" outlineLevel="0" collapsed="false">
      <c r="A11" s="9" t="s">
        <v>242</v>
      </c>
      <c r="B11" s="9" t="s">
        <v>243</v>
      </c>
      <c r="C11" s="9" t="s">
        <v>219</v>
      </c>
      <c r="D11" s="9" t="s">
        <v>220</v>
      </c>
      <c r="E11" s="9" t="s">
        <v>244</v>
      </c>
      <c r="F11" s="9" t="s">
        <v>222</v>
      </c>
      <c r="G11" s="9" t="s">
        <v>223</v>
      </c>
      <c r="H11" s="9" t="str">
        <f aca="false">INDEX(Suppliers!$B$5:$B$12,MATCH(G11,Suppliers!$A$5:$A$12,0))</f>
        <v>Brightlink Electronics Co. (fictional)</v>
      </c>
      <c r="I11" s="18" t="n">
        <v>0.08</v>
      </c>
      <c r="J11" s="9" t="s">
        <v>224</v>
      </c>
      <c r="K11" s="9"/>
    </row>
    <row r="12" customFormat="false" ht="15" hidden="false" customHeight="false" outlineLevel="0" collapsed="false">
      <c r="A12" s="9" t="s">
        <v>245</v>
      </c>
      <c r="B12" s="9" t="s">
        <v>246</v>
      </c>
      <c r="C12" s="9" t="s">
        <v>219</v>
      </c>
      <c r="D12" s="9" t="s">
        <v>220</v>
      </c>
      <c r="E12" s="9" t="s">
        <v>247</v>
      </c>
      <c r="F12" s="9" t="s">
        <v>222</v>
      </c>
      <c r="G12" s="9" t="s">
        <v>223</v>
      </c>
      <c r="H12" s="9" t="str">
        <f aca="false">INDEX(Suppliers!$B$5:$B$12,MATCH(G12,Suppliers!$A$5:$A$12,0))</f>
        <v>Brightlink Electronics Co. (fictional)</v>
      </c>
      <c r="I12" s="18" t="n">
        <v>0.9</v>
      </c>
      <c r="J12" s="9" t="s">
        <v>224</v>
      </c>
      <c r="K12" s="9"/>
    </row>
    <row r="13" customFormat="false" ht="15" hidden="false" customHeight="false" outlineLevel="0" collapsed="false">
      <c r="A13" s="9" t="s">
        <v>248</v>
      </c>
      <c r="B13" s="9" t="s">
        <v>249</v>
      </c>
      <c r="C13" s="9" t="s">
        <v>219</v>
      </c>
      <c r="D13" s="9" t="s">
        <v>220</v>
      </c>
      <c r="E13" s="9" t="s">
        <v>250</v>
      </c>
      <c r="F13" s="9" t="s">
        <v>251</v>
      </c>
      <c r="G13" s="9" t="s">
        <v>252</v>
      </c>
      <c r="H13" s="9" t="str">
        <f aca="false">INDEX(Suppliers!$B$5:$B$12,MATCH(G13,Suppliers!$A$5:$A$12,0))</f>
        <v>Voltix Components Sdn Bhd (fictional)</v>
      </c>
      <c r="I13" s="18" t="n">
        <v>0.25</v>
      </c>
      <c r="J13" s="9" t="s">
        <v>224</v>
      </c>
      <c r="K13" s="9"/>
    </row>
    <row r="14" customFormat="false" ht="15" hidden="false" customHeight="false" outlineLevel="0" collapsed="false">
      <c r="A14" s="9" t="s">
        <v>253</v>
      </c>
      <c r="B14" s="9" t="s">
        <v>254</v>
      </c>
      <c r="C14" s="9" t="s">
        <v>219</v>
      </c>
      <c r="D14" s="9" t="s">
        <v>220</v>
      </c>
      <c r="E14" s="9" t="s">
        <v>250</v>
      </c>
      <c r="F14" s="9" t="s">
        <v>251</v>
      </c>
      <c r="G14" s="9" t="s">
        <v>252</v>
      </c>
      <c r="H14" s="9" t="str">
        <f aca="false">INDEX(Suppliers!$B$5:$B$12,MATCH(G14,Suppliers!$A$5:$A$12,0))</f>
        <v>Voltix Components Sdn Bhd (fictional)</v>
      </c>
      <c r="I14" s="18" t="n">
        <v>0.42</v>
      </c>
      <c r="J14" s="9" t="s">
        <v>224</v>
      </c>
      <c r="K14" s="9"/>
    </row>
    <row r="15" customFormat="false" ht="15" hidden="false" customHeight="false" outlineLevel="0" collapsed="false">
      <c r="A15" s="9" t="s">
        <v>255</v>
      </c>
      <c r="B15" s="9" t="s">
        <v>256</v>
      </c>
      <c r="C15" s="9" t="s">
        <v>219</v>
      </c>
      <c r="D15" s="9" t="s">
        <v>220</v>
      </c>
      <c r="E15" s="9" t="s">
        <v>257</v>
      </c>
      <c r="F15" s="9" t="s">
        <v>251</v>
      </c>
      <c r="G15" s="9" t="s">
        <v>252</v>
      </c>
      <c r="H15" s="9" t="str">
        <f aca="false">INDEX(Suppliers!$B$5:$B$12,MATCH(G15,Suppliers!$A$5:$A$12,0))</f>
        <v>Voltix Components Sdn Bhd (fictional)</v>
      </c>
      <c r="I15" s="18" t="n">
        <v>0.07</v>
      </c>
      <c r="J15" s="9" t="s">
        <v>224</v>
      </c>
      <c r="K15" s="9"/>
    </row>
    <row r="16" customFormat="false" ht="15" hidden="false" customHeight="false" outlineLevel="0" collapsed="false">
      <c r="A16" s="9" t="s">
        <v>258</v>
      </c>
      <c r="B16" s="9" t="s">
        <v>259</v>
      </c>
      <c r="C16" s="9" t="s">
        <v>219</v>
      </c>
      <c r="D16" s="9" t="s">
        <v>220</v>
      </c>
      <c r="E16" s="9" t="s">
        <v>260</v>
      </c>
      <c r="F16" s="9" t="s">
        <v>251</v>
      </c>
      <c r="G16" s="9" t="s">
        <v>252</v>
      </c>
      <c r="H16" s="9" t="str">
        <f aca="false">INDEX(Suppliers!$B$5:$B$12,MATCH(G16,Suppliers!$A$5:$A$12,0))</f>
        <v>Voltix Components Sdn Bhd (fictional)</v>
      </c>
      <c r="I16" s="18" t="n">
        <v>0.65</v>
      </c>
      <c r="J16" s="9" t="s">
        <v>224</v>
      </c>
      <c r="K16" s="9"/>
    </row>
    <row r="17" customFormat="false" ht="15" hidden="false" customHeight="false" outlineLevel="0" collapsed="false">
      <c r="A17" s="9" t="s">
        <v>261</v>
      </c>
      <c r="B17" s="9" t="s">
        <v>262</v>
      </c>
      <c r="C17" s="9" t="s">
        <v>219</v>
      </c>
      <c r="D17" s="9" t="s">
        <v>220</v>
      </c>
      <c r="E17" s="9" t="s">
        <v>260</v>
      </c>
      <c r="F17" s="9" t="s">
        <v>251</v>
      </c>
      <c r="G17" s="9" t="s">
        <v>252</v>
      </c>
      <c r="H17" s="9" t="str">
        <f aca="false">INDEX(Suppliers!$B$5:$B$12,MATCH(G17,Suppliers!$A$5:$A$12,0))</f>
        <v>Voltix Components Sdn Bhd (fictional)</v>
      </c>
      <c r="I17" s="18" t="n">
        <v>0.1</v>
      </c>
      <c r="J17" s="9" t="s">
        <v>224</v>
      </c>
      <c r="K17" s="9"/>
    </row>
    <row r="18" customFormat="false" ht="15" hidden="false" customHeight="false" outlineLevel="0" collapsed="false">
      <c r="A18" s="9" t="s">
        <v>263</v>
      </c>
      <c r="B18" s="9" t="s">
        <v>264</v>
      </c>
      <c r="C18" s="9" t="s">
        <v>219</v>
      </c>
      <c r="D18" s="9" t="s">
        <v>220</v>
      </c>
      <c r="E18" s="9" t="s">
        <v>265</v>
      </c>
      <c r="F18" s="9" t="s">
        <v>251</v>
      </c>
      <c r="G18" s="9" t="s">
        <v>252</v>
      </c>
      <c r="H18" s="9" t="str">
        <f aca="false">INDEX(Suppliers!$B$5:$B$12,MATCH(G18,Suppliers!$A$5:$A$12,0))</f>
        <v>Voltix Components Sdn Bhd (fictional)</v>
      </c>
      <c r="I18" s="18" t="n">
        <v>0.18</v>
      </c>
      <c r="J18" s="9" t="s">
        <v>224</v>
      </c>
      <c r="K18" s="9"/>
    </row>
    <row r="19" customFormat="false" ht="15" hidden="false" customHeight="false" outlineLevel="0" collapsed="false">
      <c r="A19" s="9" t="s">
        <v>266</v>
      </c>
      <c r="B19" s="9" t="s">
        <v>267</v>
      </c>
      <c r="C19" s="9" t="s">
        <v>219</v>
      </c>
      <c r="D19" s="9" t="s">
        <v>220</v>
      </c>
      <c r="E19" s="9" t="s">
        <v>221</v>
      </c>
      <c r="F19" s="9" t="s">
        <v>222</v>
      </c>
      <c r="G19" s="9" t="s">
        <v>223</v>
      </c>
      <c r="H19" s="9" t="str">
        <f aca="false">INDEX(Suppliers!$B$5:$B$12,MATCH(G19,Suppliers!$A$5:$A$12,0))</f>
        <v>Brightlink Electronics Co. (fictional)</v>
      </c>
      <c r="I19" s="18" t="n">
        <v>0.09</v>
      </c>
      <c r="J19" s="9" t="s">
        <v>268</v>
      </c>
      <c r="K19" s="9"/>
    </row>
    <row r="20" customFormat="false" ht="15" hidden="false" customHeight="false" outlineLevel="0" collapsed="false">
      <c r="A20" s="9" t="s">
        <v>269</v>
      </c>
      <c r="B20" s="9" t="s">
        <v>270</v>
      </c>
      <c r="C20" s="9" t="s">
        <v>219</v>
      </c>
      <c r="D20" s="9" t="s">
        <v>220</v>
      </c>
      <c r="E20" s="9" t="s">
        <v>271</v>
      </c>
      <c r="F20" s="9" t="s">
        <v>222</v>
      </c>
      <c r="G20" s="9" t="s">
        <v>223</v>
      </c>
      <c r="H20" s="9" t="str">
        <f aca="false">INDEX(Suppliers!$B$5:$B$12,MATCH(G20,Suppliers!$A$5:$A$12,0))</f>
        <v>Brightlink Electronics Co. (fictional)</v>
      </c>
      <c r="I20" s="18" t="n">
        <v>0.3</v>
      </c>
      <c r="J20" s="9" t="s">
        <v>224</v>
      </c>
      <c r="K20" s="9"/>
    </row>
    <row r="21" customFormat="false" ht="15" hidden="false" customHeight="false" outlineLevel="0" collapsed="false">
      <c r="A21" s="9" t="s">
        <v>272</v>
      </c>
      <c r="B21" s="9" t="s">
        <v>273</v>
      </c>
      <c r="C21" s="9" t="s">
        <v>274</v>
      </c>
      <c r="D21" s="9" t="s">
        <v>220</v>
      </c>
      <c r="E21" s="9" t="s">
        <v>275</v>
      </c>
      <c r="F21" s="9" t="s">
        <v>251</v>
      </c>
      <c r="G21" s="9" t="s">
        <v>252</v>
      </c>
      <c r="H21" s="9" t="str">
        <f aca="false">INDEX(Suppliers!$B$5:$B$12,MATCH(G21,Suppliers!$A$5:$A$12,0))</f>
        <v>Voltix Components Sdn Bhd (fictional)</v>
      </c>
      <c r="I21" s="18" t="n">
        <v>0.05</v>
      </c>
      <c r="J21" s="9" t="s">
        <v>224</v>
      </c>
      <c r="K21" s="9" t="s">
        <v>276</v>
      </c>
    </row>
    <row r="22" customFormat="false" ht="15" hidden="false" customHeight="false" outlineLevel="0" collapsed="false">
      <c r="A22" s="9" t="s">
        <v>277</v>
      </c>
      <c r="B22" s="9" t="s">
        <v>278</v>
      </c>
      <c r="C22" s="9" t="s">
        <v>274</v>
      </c>
      <c r="D22" s="9" t="s">
        <v>220</v>
      </c>
      <c r="E22" s="9" t="s">
        <v>275</v>
      </c>
      <c r="F22" s="9" t="s">
        <v>251</v>
      </c>
      <c r="G22" s="9" t="s">
        <v>252</v>
      </c>
      <c r="H22" s="9" t="str">
        <f aca="false">INDEX(Suppliers!$B$5:$B$12,MATCH(G22,Suppliers!$A$5:$A$12,0))</f>
        <v>Voltix Components Sdn Bhd (fictional)</v>
      </c>
      <c r="I22" s="18" t="n">
        <v>0.05</v>
      </c>
      <c r="J22" s="9" t="s">
        <v>224</v>
      </c>
      <c r="K22" s="9"/>
    </row>
    <row r="23" customFormat="false" ht="15" hidden="false" customHeight="false" outlineLevel="0" collapsed="false">
      <c r="A23" s="9" t="s">
        <v>279</v>
      </c>
      <c r="B23" s="9" t="s">
        <v>280</v>
      </c>
      <c r="C23" s="9" t="s">
        <v>274</v>
      </c>
      <c r="D23" s="9" t="s">
        <v>220</v>
      </c>
      <c r="E23" s="9" t="s">
        <v>275</v>
      </c>
      <c r="F23" s="9" t="s">
        <v>251</v>
      </c>
      <c r="G23" s="9" t="s">
        <v>252</v>
      </c>
      <c r="H23" s="9" t="str">
        <f aca="false">INDEX(Suppliers!$B$5:$B$12,MATCH(G23,Suppliers!$A$5:$A$12,0))</f>
        <v>Voltix Components Sdn Bhd (fictional)</v>
      </c>
      <c r="I23" s="18" t="n">
        <v>0.08</v>
      </c>
      <c r="J23" s="9" t="s">
        <v>224</v>
      </c>
      <c r="K23" s="9" t="s">
        <v>281</v>
      </c>
    </row>
    <row r="24" customFormat="false" ht="15" hidden="false" customHeight="false" outlineLevel="0" collapsed="false">
      <c r="A24" s="9" t="s">
        <v>282</v>
      </c>
      <c r="B24" s="9" t="s">
        <v>283</v>
      </c>
      <c r="C24" s="9" t="s">
        <v>274</v>
      </c>
      <c r="D24" s="9" t="s">
        <v>220</v>
      </c>
      <c r="E24" s="9" t="s">
        <v>275</v>
      </c>
      <c r="F24" s="9" t="s">
        <v>251</v>
      </c>
      <c r="G24" s="9" t="s">
        <v>252</v>
      </c>
      <c r="H24" s="9" t="str">
        <f aca="false">INDEX(Suppliers!$B$5:$B$12,MATCH(G24,Suppliers!$A$5:$A$12,0))</f>
        <v>Voltix Components Sdn Bhd (fictional)</v>
      </c>
      <c r="I24" s="18" t="n">
        <v>0.12</v>
      </c>
      <c r="J24" s="9" t="s">
        <v>224</v>
      </c>
      <c r="K24" s="9"/>
    </row>
    <row r="25" customFormat="false" ht="15" hidden="false" customHeight="false" outlineLevel="0" collapsed="false">
      <c r="A25" s="9" t="s">
        <v>284</v>
      </c>
      <c r="B25" s="9" t="s">
        <v>285</v>
      </c>
      <c r="C25" s="9" t="s">
        <v>274</v>
      </c>
      <c r="D25" s="9" t="s">
        <v>220</v>
      </c>
      <c r="E25" s="9" t="s">
        <v>286</v>
      </c>
      <c r="F25" s="9" t="s">
        <v>287</v>
      </c>
      <c r="G25" s="9" t="s">
        <v>288</v>
      </c>
      <c r="H25" s="9" t="str">
        <f aca="false">INDEX(Suppliers!$B$5:$B$12,MATCH(G25,Suppliers!$A$5:$A$12,0))</f>
        <v>Anka Accessories Trading (fictional)</v>
      </c>
      <c r="I25" s="18" t="n">
        <v>0.04</v>
      </c>
      <c r="J25" s="9" t="s">
        <v>224</v>
      </c>
      <c r="K25" s="9"/>
    </row>
    <row r="26" customFormat="false" ht="15" hidden="false" customHeight="false" outlineLevel="0" collapsed="false">
      <c r="A26" s="9" t="s">
        <v>289</v>
      </c>
      <c r="B26" s="9" t="s">
        <v>290</v>
      </c>
      <c r="C26" s="9" t="s">
        <v>274</v>
      </c>
      <c r="D26" s="9" t="s">
        <v>220</v>
      </c>
      <c r="E26" s="9" t="s">
        <v>291</v>
      </c>
      <c r="F26" s="9" t="s">
        <v>287</v>
      </c>
      <c r="G26" s="9" t="s">
        <v>288</v>
      </c>
      <c r="H26" s="9" t="str">
        <f aca="false">INDEX(Suppliers!$B$5:$B$12,MATCH(G26,Suppliers!$A$5:$A$12,0))</f>
        <v>Anka Accessories Trading (fictional)</v>
      </c>
      <c r="I26" s="18" t="n">
        <v>0.03</v>
      </c>
      <c r="J26" s="9" t="s">
        <v>224</v>
      </c>
      <c r="K26" s="9"/>
    </row>
    <row r="27" customFormat="false" ht="15" hidden="false" customHeight="false" outlineLevel="0" collapsed="false">
      <c r="A27" s="9" t="s">
        <v>292</v>
      </c>
      <c r="B27" s="9" t="s">
        <v>293</v>
      </c>
      <c r="C27" s="9" t="s">
        <v>274</v>
      </c>
      <c r="D27" s="9" t="s">
        <v>220</v>
      </c>
      <c r="E27" s="9" t="s">
        <v>294</v>
      </c>
      <c r="F27" s="9" t="s">
        <v>287</v>
      </c>
      <c r="G27" s="9" t="s">
        <v>288</v>
      </c>
      <c r="H27" s="9" t="str">
        <f aca="false">INDEX(Suppliers!$B$5:$B$12,MATCH(G27,Suppliers!$A$5:$A$12,0))</f>
        <v>Anka Accessories Trading (fictional)</v>
      </c>
      <c r="I27" s="18" t="n">
        <v>0.3</v>
      </c>
      <c r="J27" s="9" t="s">
        <v>224</v>
      </c>
      <c r="K27" s="9"/>
    </row>
    <row r="28" customFormat="false" ht="15" hidden="false" customHeight="false" outlineLevel="0" collapsed="false">
      <c r="A28" s="9" t="s">
        <v>295</v>
      </c>
      <c r="B28" s="9" t="s">
        <v>296</v>
      </c>
      <c r="C28" s="9" t="s">
        <v>274</v>
      </c>
      <c r="D28" s="9" t="s">
        <v>220</v>
      </c>
      <c r="E28" s="9" t="s">
        <v>294</v>
      </c>
      <c r="F28" s="9" t="s">
        <v>287</v>
      </c>
      <c r="G28" s="9" t="s">
        <v>288</v>
      </c>
      <c r="H28" s="9" t="str">
        <f aca="false">INDEX(Suppliers!$B$5:$B$12,MATCH(G28,Suppliers!$A$5:$A$12,0))</f>
        <v>Anka Accessories Trading (fictional)</v>
      </c>
      <c r="I28" s="18" t="n">
        <v>0.85</v>
      </c>
      <c r="J28" s="9" t="s">
        <v>224</v>
      </c>
      <c r="K28" s="9"/>
    </row>
    <row r="29" customFormat="false" ht="15" hidden="false" customHeight="false" outlineLevel="0" collapsed="false">
      <c r="A29" s="9" t="s">
        <v>297</v>
      </c>
      <c r="B29" s="9" t="s">
        <v>298</v>
      </c>
      <c r="C29" s="9" t="s">
        <v>274</v>
      </c>
      <c r="D29" s="9" t="s">
        <v>220</v>
      </c>
      <c r="E29" s="9" t="s">
        <v>286</v>
      </c>
      <c r="F29" s="9" t="s">
        <v>287</v>
      </c>
      <c r="G29" s="9" t="s">
        <v>288</v>
      </c>
      <c r="H29" s="9" t="str">
        <f aca="false">INDEX(Suppliers!$B$5:$B$12,MATCH(G29,Suppliers!$A$5:$A$12,0))</f>
        <v>Anka Accessories Trading (fictional)</v>
      </c>
      <c r="I29" s="18" t="n">
        <v>0.09</v>
      </c>
      <c r="J29" s="9" t="s">
        <v>224</v>
      </c>
      <c r="K29" s="9"/>
    </row>
    <row r="30" customFormat="false" ht="15" hidden="false" customHeight="false" outlineLevel="0" collapsed="false">
      <c r="A30" s="9" t="s">
        <v>299</v>
      </c>
      <c r="B30" s="9" t="s">
        <v>300</v>
      </c>
      <c r="C30" s="9" t="s">
        <v>274</v>
      </c>
      <c r="D30" s="9" t="s">
        <v>220</v>
      </c>
      <c r="E30" s="9" t="s">
        <v>301</v>
      </c>
      <c r="F30" s="9" t="s">
        <v>287</v>
      </c>
      <c r="G30" s="9" t="s">
        <v>288</v>
      </c>
      <c r="H30" s="9" t="str">
        <f aca="false">INDEX(Suppliers!$B$5:$B$12,MATCH(G30,Suppliers!$A$5:$A$12,0))</f>
        <v>Anka Accessories Trading (fictional)</v>
      </c>
      <c r="I30" s="18" t="n">
        <v>0.15</v>
      </c>
      <c r="J30" s="9" t="s">
        <v>224</v>
      </c>
      <c r="K30" s="9"/>
    </row>
    <row r="31" customFormat="false" ht="15" hidden="false" customHeight="false" outlineLevel="0" collapsed="false">
      <c r="A31" s="9" t="s">
        <v>302</v>
      </c>
      <c r="B31" s="9" t="s">
        <v>303</v>
      </c>
      <c r="C31" s="9" t="s">
        <v>274</v>
      </c>
      <c r="D31" s="9" t="s">
        <v>220</v>
      </c>
      <c r="E31" s="9" t="s">
        <v>304</v>
      </c>
      <c r="F31" s="9" t="s">
        <v>287</v>
      </c>
      <c r="G31" s="9" t="s">
        <v>288</v>
      </c>
      <c r="H31" s="9" t="str">
        <f aca="false">INDEX(Suppliers!$B$5:$B$12,MATCH(G31,Suppliers!$A$5:$A$12,0))</f>
        <v>Anka Accessories Trading (fictional)</v>
      </c>
      <c r="I31" s="18" t="n">
        <v>0.1</v>
      </c>
      <c r="J31" s="9" t="s">
        <v>224</v>
      </c>
      <c r="K31" s="9"/>
    </row>
    <row r="32" customFormat="false" ht="15" hidden="false" customHeight="false" outlineLevel="0" collapsed="false">
      <c r="A32" s="9" t="s">
        <v>305</v>
      </c>
      <c r="B32" s="9" t="s">
        <v>306</v>
      </c>
      <c r="C32" s="9" t="s">
        <v>274</v>
      </c>
      <c r="D32" s="9" t="s">
        <v>220</v>
      </c>
      <c r="E32" s="9" t="s">
        <v>307</v>
      </c>
      <c r="F32" s="9" t="s">
        <v>287</v>
      </c>
      <c r="G32" s="9" t="s">
        <v>288</v>
      </c>
      <c r="H32" s="9" t="str">
        <f aca="false">INDEX(Suppliers!$B$5:$B$12,MATCH(G32,Suppliers!$A$5:$A$12,0))</f>
        <v>Anka Accessories Trading (fictional)</v>
      </c>
      <c r="I32" s="18" t="n">
        <v>0.2</v>
      </c>
      <c r="J32" s="9" t="s">
        <v>224</v>
      </c>
      <c r="K32" s="9"/>
    </row>
    <row r="33" customFormat="false" ht="15" hidden="false" customHeight="false" outlineLevel="0" collapsed="false">
      <c r="A33" s="9" t="s">
        <v>308</v>
      </c>
      <c r="B33" s="9" t="s">
        <v>309</v>
      </c>
      <c r="C33" s="9" t="s">
        <v>274</v>
      </c>
      <c r="D33" s="9" t="s">
        <v>220</v>
      </c>
      <c r="E33" s="9" t="s">
        <v>310</v>
      </c>
      <c r="F33" s="9" t="s">
        <v>287</v>
      </c>
      <c r="G33" s="9" t="s">
        <v>288</v>
      </c>
      <c r="H33" s="9" t="str">
        <f aca="false">INDEX(Suppliers!$B$5:$B$12,MATCH(G33,Suppliers!$A$5:$A$12,0))</f>
        <v>Anka Accessories Trading (fictional)</v>
      </c>
      <c r="I33" s="18" t="n">
        <v>0.05</v>
      </c>
      <c r="J33" s="9" t="s">
        <v>224</v>
      </c>
      <c r="K33" s="9"/>
    </row>
    <row r="34" customFormat="false" ht="15" hidden="false" customHeight="false" outlineLevel="0" collapsed="false">
      <c r="A34" s="9" t="s">
        <v>311</v>
      </c>
      <c r="B34" s="9" t="s">
        <v>312</v>
      </c>
      <c r="C34" s="9" t="s">
        <v>274</v>
      </c>
      <c r="D34" s="9" t="s">
        <v>220</v>
      </c>
      <c r="E34" s="9" t="s">
        <v>313</v>
      </c>
      <c r="F34" s="9" t="s">
        <v>287</v>
      </c>
      <c r="G34" s="9" t="s">
        <v>288</v>
      </c>
      <c r="H34" s="9" t="str">
        <f aca="false">INDEX(Suppliers!$B$5:$B$12,MATCH(G34,Suppliers!$A$5:$A$12,0))</f>
        <v>Anka Accessories Trading (fictional)</v>
      </c>
      <c r="I34" s="18" t="n">
        <v>0.02</v>
      </c>
      <c r="J34" s="9" t="s">
        <v>268</v>
      </c>
      <c r="K34" s="9"/>
    </row>
    <row r="35" customFormat="false" ht="15" hidden="false" customHeight="false" outlineLevel="0" collapsed="false">
      <c r="A35" s="9" t="s">
        <v>314</v>
      </c>
      <c r="B35" s="9" t="s">
        <v>315</v>
      </c>
      <c r="C35" s="9" t="s">
        <v>274</v>
      </c>
      <c r="D35" s="9" t="s">
        <v>220</v>
      </c>
      <c r="E35" s="9" t="s">
        <v>316</v>
      </c>
      <c r="F35" s="9" t="s">
        <v>287</v>
      </c>
      <c r="G35" s="9" t="s">
        <v>288</v>
      </c>
      <c r="H35" s="9" t="str">
        <f aca="false">INDEX(Suppliers!$B$5:$B$12,MATCH(G35,Suppliers!$A$5:$A$12,0))</f>
        <v>Anka Accessories Trading (fictional)</v>
      </c>
      <c r="I35" s="18" t="n">
        <v>0.02</v>
      </c>
      <c r="J35" s="9" t="s">
        <v>224</v>
      </c>
      <c r="K35" s="9"/>
    </row>
    <row r="36" customFormat="false" ht="15" hidden="false" customHeight="false" outlineLevel="0" collapsed="false">
      <c r="A36" s="9" t="s">
        <v>317</v>
      </c>
      <c r="B36" s="9" t="s">
        <v>318</v>
      </c>
      <c r="C36" s="9" t="s">
        <v>274</v>
      </c>
      <c r="D36" s="9" t="s">
        <v>220</v>
      </c>
      <c r="E36" s="9" t="s">
        <v>294</v>
      </c>
      <c r="F36" s="9" t="s">
        <v>287</v>
      </c>
      <c r="G36" s="9" t="s">
        <v>288</v>
      </c>
      <c r="H36" s="9" t="str">
        <f aca="false">INDEX(Suppliers!$B$5:$B$12,MATCH(G36,Suppliers!$A$5:$A$12,0))</f>
        <v>Anka Accessories Trading (fictional)</v>
      </c>
      <c r="I36" s="18" t="n">
        <v>0.03</v>
      </c>
      <c r="J36" s="9" t="s">
        <v>224</v>
      </c>
      <c r="K36" s="9"/>
    </row>
    <row r="37" customFormat="false" ht="15" hidden="false" customHeight="false" outlineLevel="0" collapsed="false">
      <c r="A37" s="9" t="s">
        <v>319</v>
      </c>
      <c r="B37" s="9" t="s">
        <v>320</v>
      </c>
      <c r="C37" s="9" t="s">
        <v>321</v>
      </c>
      <c r="D37" s="9" t="s">
        <v>220</v>
      </c>
      <c r="E37" s="9" t="s">
        <v>322</v>
      </c>
      <c r="F37" s="9" t="s">
        <v>222</v>
      </c>
      <c r="G37" s="9" t="s">
        <v>323</v>
      </c>
      <c r="H37" s="9" t="str">
        <f aca="false">INDEX(Suppliers!$B$5:$B$12,MATCH(G37,Suppliers!$A$5:$A$12,0))</f>
        <v>Everhome Housewares Ltd (fictional)</v>
      </c>
      <c r="I37" s="18" t="n">
        <v>1.1</v>
      </c>
      <c r="J37" s="9" t="s">
        <v>224</v>
      </c>
      <c r="K37" s="9"/>
    </row>
    <row r="38" customFormat="false" ht="15" hidden="false" customHeight="false" outlineLevel="0" collapsed="false">
      <c r="A38" s="9" t="s">
        <v>324</v>
      </c>
      <c r="B38" s="9" t="s">
        <v>325</v>
      </c>
      <c r="C38" s="9" t="s">
        <v>321</v>
      </c>
      <c r="D38" s="9" t="s">
        <v>326</v>
      </c>
      <c r="E38" s="9" t="s">
        <v>327</v>
      </c>
      <c r="F38" s="9" t="s">
        <v>222</v>
      </c>
      <c r="G38" s="9" t="s">
        <v>323</v>
      </c>
      <c r="H38" s="9" t="str">
        <f aca="false">INDEX(Suppliers!$B$5:$B$12,MATCH(G38,Suppliers!$A$5:$A$12,0))</f>
        <v>Everhome Housewares Ltd (fictional)</v>
      </c>
      <c r="I38" s="18" t="n">
        <v>4.8</v>
      </c>
      <c r="J38" s="9" t="s">
        <v>224</v>
      </c>
      <c r="K38" s="9"/>
    </row>
    <row r="39" customFormat="false" ht="15" hidden="false" customHeight="false" outlineLevel="0" collapsed="false">
      <c r="A39" s="9" t="s">
        <v>328</v>
      </c>
      <c r="B39" s="9" t="s">
        <v>329</v>
      </c>
      <c r="C39" s="9" t="s">
        <v>321</v>
      </c>
      <c r="D39" s="9" t="s">
        <v>326</v>
      </c>
      <c r="E39" s="9" t="s">
        <v>330</v>
      </c>
      <c r="F39" s="9" t="s">
        <v>331</v>
      </c>
      <c r="G39" s="9" t="s">
        <v>332</v>
      </c>
      <c r="H39" s="9" t="str">
        <f aca="false">INDEX(Suppliers!$B$5:$B$12,MATCH(G39,Suppliers!$A$5:$A$12,0))</f>
        <v>Nordkap Home Appliances GmbH (fictional)</v>
      </c>
      <c r="I39" s="18" t="n">
        <v>2.1</v>
      </c>
      <c r="J39" s="9" t="s">
        <v>224</v>
      </c>
      <c r="K39" s="9"/>
    </row>
    <row r="40" customFormat="false" ht="15" hidden="false" customHeight="false" outlineLevel="0" collapsed="false">
      <c r="A40" s="9" t="s">
        <v>333</v>
      </c>
      <c r="B40" s="9" t="s">
        <v>334</v>
      </c>
      <c r="C40" s="9" t="s">
        <v>321</v>
      </c>
      <c r="D40" s="9" t="s">
        <v>220</v>
      </c>
      <c r="E40" s="9" t="s">
        <v>335</v>
      </c>
      <c r="F40" s="9" t="s">
        <v>222</v>
      </c>
      <c r="G40" s="9" t="s">
        <v>323</v>
      </c>
      <c r="H40" s="9" t="str">
        <f aca="false">INDEX(Suppliers!$B$5:$B$12,MATCH(G40,Suppliers!$A$5:$A$12,0))</f>
        <v>Everhome Housewares Ltd (fictional)</v>
      </c>
      <c r="I40" s="18" t="n">
        <v>1</v>
      </c>
      <c r="J40" s="9" t="s">
        <v>224</v>
      </c>
      <c r="K40" s="9"/>
    </row>
    <row r="41" customFormat="false" ht="15" hidden="false" customHeight="false" outlineLevel="0" collapsed="false">
      <c r="A41" s="9" t="s">
        <v>336</v>
      </c>
      <c r="B41" s="9" t="s">
        <v>337</v>
      </c>
      <c r="C41" s="9" t="s">
        <v>321</v>
      </c>
      <c r="D41" s="9" t="s">
        <v>326</v>
      </c>
      <c r="E41" s="9" t="s">
        <v>338</v>
      </c>
      <c r="F41" s="9" t="s">
        <v>222</v>
      </c>
      <c r="G41" s="9" t="s">
        <v>323</v>
      </c>
      <c r="H41" s="9" t="str">
        <f aca="false">INDEX(Suppliers!$B$5:$B$12,MATCH(G41,Suppliers!$A$5:$A$12,0))</f>
        <v>Everhome Housewares Ltd (fictional)</v>
      </c>
      <c r="I41" s="18" t="n">
        <v>1.6</v>
      </c>
      <c r="J41" s="9" t="s">
        <v>224</v>
      </c>
      <c r="K41" s="9"/>
    </row>
    <row r="42" customFormat="false" ht="15" hidden="false" customHeight="false" outlineLevel="0" collapsed="false">
      <c r="A42" s="9" t="s">
        <v>339</v>
      </c>
      <c r="B42" s="9" t="s">
        <v>340</v>
      </c>
      <c r="C42" s="9" t="s">
        <v>321</v>
      </c>
      <c r="D42" s="9" t="s">
        <v>220</v>
      </c>
      <c r="E42" s="9" t="s">
        <v>341</v>
      </c>
      <c r="F42" s="9" t="s">
        <v>222</v>
      </c>
      <c r="G42" s="9" t="s">
        <v>323</v>
      </c>
      <c r="H42" s="9" t="str">
        <f aca="false">INDEX(Suppliers!$B$5:$B$12,MATCH(G42,Suppliers!$A$5:$A$12,0))</f>
        <v>Everhome Housewares Ltd (fictional)</v>
      </c>
      <c r="I42" s="18" t="n">
        <v>0.95</v>
      </c>
      <c r="J42" s="9" t="s">
        <v>224</v>
      </c>
      <c r="K42" s="9"/>
    </row>
    <row r="43" customFormat="false" ht="15" hidden="false" customHeight="false" outlineLevel="0" collapsed="false">
      <c r="A43" s="9" t="s">
        <v>342</v>
      </c>
      <c r="B43" s="9" t="s">
        <v>343</v>
      </c>
      <c r="C43" s="9" t="s">
        <v>321</v>
      </c>
      <c r="D43" s="9" t="s">
        <v>220</v>
      </c>
      <c r="E43" s="9" t="s">
        <v>341</v>
      </c>
      <c r="F43" s="9" t="s">
        <v>222</v>
      </c>
      <c r="G43" s="9" t="s">
        <v>323</v>
      </c>
      <c r="H43" s="9" t="str">
        <f aca="false">INDEX(Suppliers!$B$5:$B$12,MATCH(G43,Suppliers!$A$5:$A$12,0))</f>
        <v>Everhome Housewares Ltd (fictional)</v>
      </c>
      <c r="I43" s="18" t="n">
        <v>0.8</v>
      </c>
      <c r="J43" s="9" t="s">
        <v>224</v>
      </c>
      <c r="K43" s="9"/>
    </row>
    <row r="44" customFormat="false" ht="15" hidden="false" customHeight="false" outlineLevel="0" collapsed="false">
      <c r="A44" s="9" t="s">
        <v>344</v>
      </c>
      <c r="B44" s="9" t="s">
        <v>345</v>
      </c>
      <c r="C44" s="9" t="s">
        <v>321</v>
      </c>
      <c r="D44" s="9" t="s">
        <v>220</v>
      </c>
      <c r="E44" s="9" t="s">
        <v>346</v>
      </c>
      <c r="F44" s="9" t="s">
        <v>222</v>
      </c>
      <c r="G44" s="9" t="s">
        <v>323</v>
      </c>
      <c r="H44" s="9" t="str">
        <f aca="false">INDEX(Suppliers!$B$5:$B$12,MATCH(G44,Suppliers!$A$5:$A$12,0))</f>
        <v>Everhome Housewares Ltd (fictional)</v>
      </c>
      <c r="I44" s="18" t="n">
        <v>0.5</v>
      </c>
      <c r="J44" s="9" t="s">
        <v>224</v>
      </c>
      <c r="K44" s="9"/>
    </row>
    <row r="45" customFormat="false" ht="15" hidden="false" customHeight="false" outlineLevel="0" collapsed="false">
      <c r="A45" s="9" t="s">
        <v>347</v>
      </c>
      <c r="B45" s="9" t="s">
        <v>348</v>
      </c>
      <c r="C45" s="9" t="s">
        <v>321</v>
      </c>
      <c r="D45" s="9" t="s">
        <v>349</v>
      </c>
      <c r="E45" s="9" t="s">
        <v>350</v>
      </c>
      <c r="F45" s="9" t="s">
        <v>222</v>
      </c>
      <c r="G45" s="9" t="s">
        <v>323</v>
      </c>
      <c r="H45" s="9" t="str">
        <f aca="false">INDEX(Suppliers!$B$5:$B$12,MATCH(G45,Suppliers!$A$5:$A$12,0))</f>
        <v>Everhome Housewares Ltd (fictional)</v>
      </c>
      <c r="I45" s="18" t="n">
        <v>0.25</v>
      </c>
      <c r="J45" s="9" t="s">
        <v>224</v>
      </c>
      <c r="K45" s="9"/>
    </row>
    <row r="46" customFormat="false" ht="15" hidden="false" customHeight="false" outlineLevel="0" collapsed="false">
      <c r="A46" s="9" t="s">
        <v>351</v>
      </c>
      <c r="B46" s="9" t="s">
        <v>352</v>
      </c>
      <c r="C46" s="9" t="s">
        <v>321</v>
      </c>
      <c r="D46" s="9" t="s">
        <v>326</v>
      </c>
      <c r="E46" s="9" t="s">
        <v>353</v>
      </c>
      <c r="F46" s="9" t="s">
        <v>222</v>
      </c>
      <c r="G46" s="9" t="s">
        <v>323</v>
      </c>
      <c r="H46" s="9" t="str">
        <f aca="false">INDEX(Suppliers!$B$5:$B$12,MATCH(G46,Suppliers!$A$5:$A$12,0))</f>
        <v>Everhome Housewares Ltd (fictional)</v>
      </c>
      <c r="I46" s="18" t="n">
        <v>3.2</v>
      </c>
      <c r="J46" s="9" t="s">
        <v>224</v>
      </c>
      <c r="K46" s="9"/>
    </row>
    <row r="47" customFormat="false" ht="15" hidden="false" customHeight="false" outlineLevel="0" collapsed="false">
      <c r="A47" s="9" t="s">
        <v>354</v>
      </c>
      <c r="B47" s="9" t="s">
        <v>355</v>
      </c>
      <c r="C47" s="9" t="s">
        <v>321</v>
      </c>
      <c r="D47" s="9" t="s">
        <v>220</v>
      </c>
      <c r="E47" s="9" t="s">
        <v>356</v>
      </c>
      <c r="F47" s="9" t="s">
        <v>331</v>
      </c>
      <c r="G47" s="9" t="s">
        <v>332</v>
      </c>
      <c r="H47" s="9" t="str">
        <f aca="false">INDEX(Suppliers!$B$5:$B$12,MATCH(G47,Suppliers!$A$5:$A$12,0))</f>
        <v>Nordkap Home Appliances GmbH (fictional)</v>
      </c>
      <c r="I47" s="18" t="n">
        <v>1.3</v>
      </c>
      <c r="J47" s="9" t="s">
        <v>224</v>
      </c>
      <c r="K47" s="9"/>
    </row>
    <row r="48" customFormat="false" ht="15" hidden="false" customHeight="false" outlineLevel="0" collapsed="false">
      <c r="A48" s="9" t="s">
        <v>357</v>
      </c>
      <c r="B48" s="9" t="s">
        <v>358</v>
      </c>
      <c r="C48" s="9" t="s">
        <v>321</v>
      </c>
      <c r="D48" s="9" t="s">
        <v>220</v>
      </c>
      <c r="E48" s="9" t="s">
        <v>359</v>
      </c>
      <c r="F48" s="9" t="s">
        <v>331</v>
      </c>
      <c r="G48" s="9" t="s">
        <v>332</v>
      </c>
      <c r="H48" s="9" t="str">
        <f aca="false">INDEX(Suppliers!$B$5:$B$12,MATCH(G48,Suppliers!$A$5:$A$12,0))</f>
        <v>Nordkap Home Appliances GmbH (fictional)</v>
      </c>
      <c r="I48" s="18" t="n">
        <v>1.4</v>
      </c>
      <c r="J48" s="9" t="s">
        <v>224</v>
      </c>
      <c r="K48" s="9"/>
    </row>
    <row r="49" customFormat="false" ht="15" hidden="false" customHeight="false" outlineLevel="0" collapsed="false">
      <c r="A49" s="9" t="s">
        <v>360</v>
      </c>
      <c r="B49" s="9" t="s">
        <v>361</v>
      </c>
      <c r="C49" s="9" t="s">
        <v>321</v>
      </c>
      <c r="D49" s="9" t="s">
        <v>220</v>
      </c>
      <c r="E49" s="9" t="s">
        <v>362</v>
      </c>
      <c r="F49" s="9" t="s">
        <v>222</v>
      </c>
      <c r="G49" s="9" t="s">
        <v>323</v>
      </c>
      <c r="H49" s="9" t="str">
        <f aca="false">INDEX(Suppliers!$B$5:$B$12,MATCH(G49,Suppliers!$A$5:$A$12,0))</f>
        <v>Everhome Housewares Ltd (fictional)</v>
      </c>
      <c r="I49" s="18" t="n">
        <v>0.6</v>
      </c>
      <c r="J49" s="9" t="s">
        <v>224</v>
      </c>
      <c r="K49" s="9"/>
    </row>
    <row r="50" customFormat="false" ht="15" hidden="false" customHeight="false" outlineLevel="0" collapsed="false">
      <c r="A50" s="9" t="s">
        <v>363</v>
      </c>
      <c r="B50" s="9" t="s">
        <v>364</v>
      </c>
      <c r="C50" s="9" t="s">
        <v>321</v>
      </c>
      <c r="D50" s="9" t="s">
        <v>326</v>
      </c>
      <c r="E50" s="9" t="s">
        <v>365</v>
      </c>
      <c r="F50" s="9" t="s">
        <v>222</v>
      </c>
      <c r="G50" s="9" t="s">
        <v>323</v>
      </c>
      <c r="H50" s="9" t="str">
        <f aca="false">INDEX(Suppliers!$B$5:$B$12,MATCH(G50,Suppliers!$A$5:$A$12,0))</f>
        <v>Everhome Housewares Ltd (fictional)</v>
      </c>
      <c r="I50" s="18" t="n">
        <v>1.5</v>
      </c>
      <c r="J50" s="9" t="s">
        <v>224</v>
      </c>
      <c r="K50" s="9"/>
    </row>
    <row r="51" customFormat="false" ht="15" hidden="false" customHeight="false" outlineLevel="0" collapsed="false">
      <c r="A51" s="9" t="s">
        <v>366</v>
      </c>
      <c r="B51" s="9" t="s">
        <v>367</v>
      </c>
      <c r="C51" s="9" t="s">
        <v>321</v>
      </c>
      <c r="D51" s="9" t="s">
        <v>349</v>
      </c>
      <c r="E51" s="9" t="s">
        <v>341</v>
      </c>
      <c r="F51" s="9" t="s">
        <v>222</v>
      </c>
      <c r="G51" s="9" t="s">
        <v>323</v>
      </c>
      <c r="H51" s="9" t="str">
        <f aca="false">INDEX(Suppliers!$B$5:$B$12,MATCH(G51,Suppliers!$A$5:$A$12,0))</f>
        <v>Everhome Housewares Ltd (fictional)</v>
      </c>
      <c r="I51" s="18" t="n">
        <v>0.9</v>
      </c>
      <c r="J51" s="9" t="s">
        <v>268</v>
      </c>
      <c r="K51" s="9"/>
    </row>
    <row r="52" customFormat="false" ht="15" hidden="false" customHeight="false" outlineLevel="0" collapsed="false">
      <c r="A52" s="9" t="s">
        <v>368</v>
      </c>
      <c r="B52" s="9" t="s">
        <v>369</v>
      </c>
      <c r="C52" s="9" t="s">
        <v>321</v>
      </c>
      <c r="D52" s="9" t="s">
        <v>220</v>
      </c>
      <c r="E52" s="9" t="s">
        <v>370</v>
      </c>
      <c r="F52" s="9" t="s">
        <v>331</v>
      </c>
      <c r="G52" s="9" t="s">
        <v>332</v>
      </c>
      <c r="H52" s="9" t="str">
        <f aca="false">INDEX(Suppliers!$B$5:$B$12,MATCH(G52,Suppliers!$A$5:$A$12,0))</f>
        <v>Nordkap Home Appliances GmbH (fictional)</v>
      </c>
      <c r="I52" s="18" t="n">
        <v>1.1</v>
      </c>
      <c r="J52" s="9" t="s">
        <v>224</v>
      </c>
      <c r="K52" s="9"/>
    </row>
    <row r="53" customFormat="false" ht="15" hidden="false" customHeight="false" outlineLevel="0" collapsed="false">
      <c r="A53" s="9" t="s">
        <v>371</v>
      </c>
      <c r="B53" s="9" t="s">
        <v>372</v>
      </c>
      <c r="C53" s="9" t="s">
        <v>373</v>
      </c>
      <c r="D53" s="9" t="s">
        <v>220</v>
      </c>
      <c r="E53" s="9" t="s">
        <v>327</v>
      </c>
      <c r="F53" s="9" t="s">
        <v>374</v>
      </c>
      <c r="G53" s="9" t="s">
        <v>375</v>
      </c>
      <c r="H53" s="9" t="str">
        <f aca="false">INDEX(Suppliers!$B$5:$B$12,MATCH(G53,Suppliers!$A$5:$A$12,0))</f>
        <v>Crestline Consumer Products Pvt Ltd (fictional)</v>
      </c>
      <c r="I53" s="18" t="n">
        <v>0.35</v>
      </c>
      <c r="J53" s="9" t="s">
        <v>224</v>
      </c>
      <c r="K53" s="9" t="s">
        <v>376</v>
      </c>
    </row>
    <row r="54" customFormat="false" ht="15" hidden="false" customHeight="false" outlineLevel="0" collapsed="false">
      <c r="A54" s="9" t="s">
        <v>377</v>
      </c>
      <c r="B54" s="9" t="s">
        <v>378</v>
      </c>
      <c r="C54" s="9" t="s">
        <v>373</v>
      </c>
      <c r="D54" s="9" t="s">
        <v>220</v>
      </c>
      <c r="E54" s="9" t="s">
        <v>327</v>
      </c>
      <c r="F54" s="9" t="s">
        <v>374</v>
      </c>
      <c r="G54" s="9" t="s">
        <v>375</v>
      </c>
      <c r="H54" s="9" t="str">
        <f aca="false">INDEX(Suppliers!$B$5:$B$12,MATCH(G54,Suppliers!$A$5:$A$12,0))</f>
        <v>Crestline Consumer Products Pvt Ltd (fictional)</v>
      </c>
      <c r="I54" s="18" t="n">
        <v>0.28</v>
      </c>
      <c r="J54" s="9" t="s">
        <v>224</v>
      </c>
      <c r="K54" s="9" t="s">
        <v>379</v>
      </c>
    </row>
    <row r="55" customFormat="false" ht="15" hidden="false" customHeight="false" outlineLevel="0" collapsed="false">
      <c r="A55" s="9" t="s">
        <v>380</v>
      </c>
      <c r="B55" s="9" t="s">
        <v>381</v>
      </c>
      <c r="C55" s="9" t="s">
        <v>373</v>
      </c>
      <c r="D55" s="9" t="s">
        <v>220</v>
      </c>
      <c r="E55" s="9" t="s">
        <v>382</v>
      </c>
      <c r="F55" s="9" t="s">
        <v>374</v>
      </c>
      <c r="G55" s="9" t="s">
        <v>375</v>
      </c>
      <c r="H55" s="9" t="str">
        <f aca="false">INDEX(Suppliers!$B$5:$B$12,MATCH(G55,Suppliers!$A$5:$A$12,0))</f>
        <v>Crestline Consumer Products Pvt Ltd (fictional)</v>
      </c>
      <c r="I55" s="18" t="n">
        <v>1</v>
      </c>
      <c r="J55" s="9" t="s">
        <v>224</v>
      </c>
      <c r="K55" s="9"/>
    </row>
    <row r="56" customFormat="false" ht="15" hidden="false" customHeight="false" outlineLevel="0" collapsed="false">
      <c r="A56" s="9" t="s">
        <v>383</v>
      </c>
      <c r="B56" s="9" t="s">
        <v>384</v>
      </c>
      <c r="C56" s="9" t="s">
        <v>373</v>
      </c>
      <c r="D56" s="9" t="s">
        <v>326</v>
      </c>
      <c r="E56" s="9" t="s">
        <v>382</v>
      </c>
      <c r="F56" s="9" t="s">
        <v>374</v>
      </c>
      <c r="G56" s="9" t="s">
        <v>375</v>
      </c>
      <c r="H56" s="9" t="str">
        <f aca="false">INDEX(Suppliers!$B$5:$B$12,MATCH(G56,Suppliers!$A$5:$A$12,0))</f>
        <v>Crestline Consumer Products Pvt Ltd (fictional)</v>
      </c>
      <c r="I56" s="18" t="n">
        <v>10.2</v>
      </c>
      <c r="J56" s="9" t="s">
        <v>224</v>
      </c>
      <c r="K56" s="9"/>
    </row>
    <row r="57" customFormat="false" ht="15" hidden="false" customHeight="false" outlineLevel="0" collapsed="false">
      <c r="A57" s="9" t="s">
        <v>385</v>
      </c>
      <c r="B57" s="9" t="s">
        <v>386</v>
      </c>
      <c r="C57" s="9" t="s">
        <v>373</v>
      </c>
      <c r="D57" s="9" t="s">
        <v>349</v>
      </c>
      <c r="E57" s="9" t="s">
        <v>387</v>
      </c>
      <c r="F57" s="9" t="s">
        <v>374</v>
      </c>
      <c r="G57" s="9" t="s">
        <v>375</v>
      </c>
      <c r="H57" s="9" t="str">
        <f aca="false">INDEX(Suppliers!$B$5:$B$12,MATCH(G57,Suppliers!$A$5:$A$12,0))</f>
        <v>Crestline Consumer Products Pvt Ltd (fictional)</v>
      </c>
      <c r="I57" s="18" t="n">
        <v>0.08</v>
      </c>
      <c r="J57" s="9" t="s">
        <v>224</v>
      </c>
      <c r="K57" s="9"/>
    </row>
    <row r="58" customFormat="false" ht="15" hidden="false" customHeight="false" outlineLevel="0" collapsed="false">
      <c r="A58" s="9" t="s">
        <v>388</v>
      </c>
      <c r="B58" s="9" t="s">
        <v>389</v>
      </c>
      <c r="C58" s="9" t="s">
        <v>373</v>
      </c>
      <c r="D58" s="9" t="s">
        <v>220</v>
      </c>
      <c r="E58" s="9" t="s">
        <v>390</v>
      </c>
      <c r="F58" s="9" t="s">
        <v>374</v>
      </c>
      <c r="G58" s="9" t="s">
        <v>375</v>
      </c>
      <c r="H58" s="9" t="str">
        <f aca="false">INDEX(Suppliers!$B$5:$B$12,MATCH(G58,Suppliers!$A$5:$A$12,0))</f>
        <v>Crestline Consumer Products Pvt Ltd (fictional)</v>
      </c>
      <c r="I58" s="18" t="n">
        <v>0.7</v>
      </c>
      <c r="J58" s="9" t="s">
        <v>224</v>
      </c>
      <c r="K58" s="9"/>
    </row>
    <row r="59" customFormat="false" ht="15" hidden="false" customHeight="false" outlineLevel="0" collapsed="false">
      <c r="A59" s="9" t="s">
        <v>391</v>
      </c>
      <c r="B59" s="9" t="s">
        <v>392</v>
      </c>
      <c r="C59" s="9" t="s">
        <v>373</v>
      </c>
      <c r="D59" s="9" t="s">
        <v>220</v>
      </c>
      <c r="E59" s="9" t="s">
        <v>393</v>
      </c>
      <c r="F59" s="9" t="s">
        <v>374</v>
      </c>
      <c r="G59" s="9" t="s">
        <v>375</v>
      </c>
      <c r="H59" s="9" t="str">
        <f aca="false">INDEX(Suppliers!$B$5:$B$12,MATCH(G59,Suppliers!$A$5:$A$12,0))</f>
        <v>Crestline Consumer Products Pvt Ltd (fictional)</v>
      </c>
      <c r="I59" s="18" t="n">
        <v>0.4</v>
      </c>
      <c r="J59" s="9" t="s">
        <v>224</v>
      </c>
      <c r="K59" s="9"/>
    </row>
    <row r="60" customFormat="false" ht="15" hidden="false" customHeight="false" outlineLevel="0" collapsed="false">
      <c r="A60" s="9" t="s">
        <v>394</v>
      </c>
      <c r="B60" s="9" t="s">
        <v>395</v>
      </c>
      <c r="C60" s="9" t="s">
        <v>373</v>
      </c>
      <c r="D60" s="9" t="s">
        <v>220</v>
      </c>
      <c r="E60" s="9" t="s">
        <v>396</v>
      </c>
      <c r="F60" s="9" t="s">
        <v>374</v>
      </c>
      <c r="G60" s="9" t="s">
        <v>375</v>
      </c>
      <c r="H60" s="9" t="str">
        <f aca="false">INDEX(Suppliers!$B$5:$B$12,MATCH(G60,Suppliers!$A$5:$A$12,0))</f>
        <v>Crestline Consumer Products Pvt Ltd (fictional)</v>
      </c>
      <c r="I60" s="18" t="n">
        <v>0.09</v>
      </c>
      <c r="J60" s="9" t="s">
        <v>224</v>
      </c>
      <c r="K60" s="9"/>
    </row>
    <row r="61" customFormat="false" ht="15" hidden="false" customHeight="false" outlineLevel="0" collapsed="false">
      <c r="A61" s="9" t="s">
        <v>397</v>
      </c>
      <c r="B61" s="9" t="s">
        <v>398</v>
      </c>
      <c r="C61" s="9" t="s">
        <v>373</v>
      </c>
      <c r="D61" s="9" t="s">
        <v>220</v>
      </c>
      <c r="E61" s="9" t="s">
        <v>396</v>
      </c>
      <c r="F61" s="9" t="s">
        <v>374</v>
      </c>
      <c r="G61" s="9" t="s">
        <v>375</v>
      </c>
      <c r="H61" s="9" t="str">
        <f aca="false">INDEX(Suppliers!$B$5:$B$12,MATCH(G61,Suppliers!$A$5:$A$12,0))</f>
        <v>Crestline Consumer Products Pvt Ltd (fictional)</v>
      </c>
      <c r="I61" s="18" t="n">
        <v>0.12</v>
      </c>
      <c r="J61" s="9" t="s">
        <v>224</v>
      </c>
      <c r="K61" s="9"/>
    </row>
    <row r="62" customFormat="false" ht="15" hidden="false" customHeight="false" outlineLevel="0" collapsed="false">
      <c r="A62" s="9" t="s">
        <v>399</v>
      </c>
      <c r="B62" s="9" t="s">
        <v>400</v>
      </c>
      <c r="C62" s="9" t="s">
        <v>373</v>
      </c>
      <c r="D62" s="9" t="s">
        <v>220</v>
      </c>
      <c r="E62" s="9" t="s">
        <v>401</v>
      </c>
      <c r="F62" s="9" t="s">
        <v>374</v>
      </c>
      <c r="G62" s="9" t="s">
        <v>375</v>
      </c>
      <c r="H62" s="9" t="str">
        <f aca="false">INDEX(Suppliers!$B$5:$B$12,MATCH(G62,Suppliers!$A$5:$A$12,0))</f>
        <v>Crestline Consumer Products Pvt Ltd (fictional)</v>
      </c>
      <c r="I62" s="18" t="n">
        <v>0.45</v>
      </c>
      <c r="J62" s="9" t="s">
        <v>224</v>
      </c>
      <c r="K62" s="9"/>
    </row>
    <row r="63" customFormat="false" ht="15" hidden="false" customHeight="false" outlineLevel="0" collapsed="false">
      <c r="A63" s="9" t="s">
        <v>402</v>
      </c>
      <c r="B63" s="9" t="s">
        <v>403</v>
      </c>
      <c r="C63" s="9" t="s">
        <v>373</v>
      </c>
      <c r="D63" s="9" t="s">
        <v>220</v>
      </c>
      <c r="E63" s="9" t="s">
        <v>404</v>
      </c>
      <c r="F63" s="9" t="s">
        <v>374</v>
      </c>
      <c r="G63" s="9" t="s">
        <v>375</v>
      </c>
      <c r="H63" s="9" t="str">
        <f aca="false">INDEX(Suppliers!$B$5:$B$12,MATCH(G63,Suppliers!$A$5:$A$12,0))</f>
        <v>Crestline Consumer Products Pvt Ltd (fictional)</v>
      </c>
      <c r="I63" s="18" t="n">
        <v>0.35</v>
      </c>
      <c r="J63" s="9" t="s">
        <v>224</v>
      </c>
      <c r="K63" s="9"/>
    </row>
    <row r="64" customFormat="false" ht="15" hidden="false" customHeight="false" outlineLevel="0" collapsed="false">
      <c r="A64" s="9" t="s">
        <v>405</v>
      </c>
      <c r="B64" s="9" t="s">
        <v>406</v>
      </c>
      <c r="C64" s="9" t="s">
        <v>373</v>
      </c>
      <c r="D64" s="9" t="s">
        <v>220</v>
      </c>
      <c r="E64" s="9" t="s">
        <v>407</v>
      </c>
      <c r="F64" s="9" t="s">
        <v>374</v>
      </c>
      <c r="G64" s="9" t="s">
        <v>375</v>
      </c>
      <c r="H64" s="9" t="str">
        <f aca="false">INDEX(Suppliers!$B$5:$B$12,MATCH(G64,Suppliers!$A$5:$A$12,0))</f>
        <v>Crestline Consumer Products Pvt Ltd (fictional)</v>
      </c>
      <c r="I64" s="18" t="n">
        <v>0.3</v>
      </c>
      <c r="J64" s="9" t="s">
        <v>224</v>
      </c>
      <c r="K64" s="9"/>
    </row>
    <row r="65" customFormat="false" ht="15" hidden="false" customHeight="false" outlineLevel="0" collapsed="false">
      <c r="A65" s="9" t="s">
        <v>408</v>
      </c>
      <c r="B65" s="9" t="s">
        <v>409</v>
      </c>
      <c r="C65" s="9" t="s">
        <v>373</v>
      </c>
      <c r="D65" s="9" t="s">
        <v>349</v>
      </c>
      <c r="E65" s="9" t="s">
        <v>410</v>
      </c>
      <c r="F65" s="9" t="s">
        <v>374</v>
      </c>
      <c r="G65" s="9" t="s">
        <v>375</v>
      </c>
      <c r="H65" s="9" t="str">
        <f aca="false">INDEX(Suppliers!$B$5:$B$12,MATCH(G65,Suppliers!$A$5:$A$12,0))</f>
        <v>Crestline Consumer Products Pvt Ltd (fictional)</v>
      </c>
      <c r="I65" s="18" t="n">
        <v>0.1</v>
      </c>
      <c r="J65" s="9" t="s">
        <v>224</v>
      </c>
      <c r="K65" s="9"/>
    </row>
    <row r="66" customFormat="false" ht="15" hidden="false" customHeight="false" outlineLevel="0" collapsed="false">
      <c r="A66" s="9" t="s">
        <v>411</v>
      </c>
      <c r="B66" s="9" t="s">
        <v>412</v>
      </c>
      <c r="C66" s="9" t="s">
        <v>373</v>
      </c>
      <c r="D66" s="9" t="s">
        <v>220</v>
      </c>
      <c r="E66" s="9" t="s">
        <v>413</v>
      </c>
      <c r="F66" s="9" t="s">
        <v>374</v>
      </c>
      <c r="G66" s="9" t="s">
        <v>375</v>
      </c>
      <c r="H66" s="9" t="str">
        <f aca="false">INDEX(Suppliers!$B$5:$B$12,MATCH(G66,Suppliers!$A$5:$A$12,0))</f>
        <v>Crestline Consumer Products Pvt Ltd (fictional)</v>
      </c>
      <c r="I66" s="18" t="n">
        <v>0.9</v>
      </c>
      <c r="J66" s="9" t="s">
        <v>224</v>
      </c>
      <c r="K66" s="9"/>
    </row>
    <row r="67" customFormat="false" ht="15" hidden="false" customHeight="false" outlineLevel="0" collapsed="false">
      <c r="A67" s="9" t="s">
        <v>414</v>
      </c>
      <c r="B67" s="9" t="s">
        <v>415</v>
      </c>
      <c r="C67" s="9" t="s">
        <v>373</v>
      </c>
      <c r="D67" s="9" t="s">
        <v>220</v>
      </c>
      <c r="E67" s="9" t="s">
        <v>416</v>
      </c>
      <c r="F67" s="9" t="s">
        <v>374</v>
      </c>
      <c r="G67" s="9" t="s">
        <v>375</v>
      </c>
      <c r="H67" s="9" t="str">
        <f aca="false">INDEX(Suppliers!$B$5:$B$12,MATCH(G67,Suppliers!$A$5:$A$12,0))</f>
        <v>Crestline Consumer Products Pvt Ltd (fictional)</v>
      </c>
      <c r="I67" s="18" t="n">
        <v>0.25</v>
      </c>
      <c r="J67" s="9" t="s">
        <v>224</v>
      </c>
      <c r="K67" s="9"/>
    </row>
    <row r="68" customFormat="false" ht="15" hidden="false" customHeight="false" outlineLevel="0" collapsed="false">
      <c r="A68" s="9" t="s">
        <v>417</v>
      </c>
      <c r="B68" s="9" t="s">
        <v>418</v>
      </c>
      <c r="C68" s="9" t="s">
        <v>373</v>
      </c>
      <c r="D68" s="9" t="s">
        <v>220</v>
      </c>
      <c r="E68" s="9" t="s">
        <v>294</v>
      </c>
      <c r="F68" s="9" t="s">
        <v>374</v>
      </c>
      <c r="G68" s="9" t="s">
        <v>375</v>
      </c>
      <c r="H68" s="9" t="str">
        <f aca="false">INDEX(Suppliers!$B$5:$B$12,MATCH(G68,Suppliers!$A$5:$A$12,0))</f>
        <v>Crestline Consumer Products Pvt Ltd (fictional)</v>
      </c>
      <c r="I68" s="18" t="n">
        <v>0.6</v>
      </c>
      <c r="J68" s="9" t="s">
        <v>268</v>
      </c>
      <c r="K68" s="9"/>
    </row>
    <row r="69" customFormat="false" ht="15" hidden="false" customHeight="false" outlineLevel="0" collapsed="false">
      <c r="A69" s="9" t="s">
        <v>419</v>
      </c>
      <c r="B69" s="9" t="s">
        <v>420</v>
      </c>
      <c r="C69" s="9" t="s">
        <v>421</v>
      </c>
      <c r="D69" s="9" t="s">
        <v>220</v>
      </c>
      <c r="E69" s="9" t="s">
        <v>422</v>
      </c>
      <c r="F69" s="9" t="s">
        <v>423</v>
      </c>
      <c r="G69" s="9" t="s">
        <v>424</v>
      </c>
      <c r="H69" s="9" t="str">
        <f aca="false">INDEX(Suppliers!$B$5:$B$12,MATCH(G69,Suppliers!$A$5:$A$12,0))</f>
        <v>Greenleaf Foods JSC (fictional)</v>
      </c>
      <c r="I69" s="18" t="n">
        <v>1.05</v>
      </c>
      <c r="J69" s="9" t="s">
        <v>224</v>
      </c>
      <c r="K69" s="9"/>
    </row>
    <row r="70" customFormat="false" ht="15" hidden="false" customHeight="false" outlineLevel="0" collapsed="false">
      <c r="A70" s="9" t="s">
        <v>425</v>
      </c>
      <c r="B70" s="9" t="s">
        <v>426</v>
      </c>
      <c r="C70" s="9" t="s">
        <v>421</v>
      </c>
      <c r="D70" s="9" t="s">
        <v>220</v>
      </c>
      <c r="E70" s="9" t="s">
        <v>427</v>
      </c>
      <c r="F70" s="9" t="s">
        <v>423</v>
      </c>
      <c r="G70" s="9" t="s">
        <v>424</v>
      </c>
      <c r="H70" s="9" t="str">
        <f aca="false">INDEX(Suppliers!$B$5:$B$12,MATCH(G70,Suppliers!$A$5:$A$12,0))</f>
        <v>Greenleaf Foods JSC (fictional)</v>
      </c>
      <c r="I70" s="18" t="n">
        <v>0.22</v>
      </c>
      <c r="J70" s="9" t="s">
        <v>224</v>
      </c>
      <c r="K70" s="9"/>
    </row>
    <row r="71" customFormat="false" ht="15" hidden="false" customHeight="false" outlineLevel="0" collapsed="false">
      <c r="A71" s="9" t="s">
        <v>428</v>
      </c>
      <c r="B71" s="9" t="s">
        <v>429</v>
      </c>
      <c r="C71" s="9" t="s">
        <v>421</v>
      </c>
      <c r="D71" s="9" t="s">
        <v>430</v>
      </c>
      <c r="E71" s="9" t="s">
        <v>431</v>
      </c>
      <c r="F71" s="9" t="s">
        <v>423</v>
      </c>
      <c r="G71" s="9" t="s">
        <v>424</v>
      </c>
      <c r="H71" s="9" t="str">
        <f aca="false">INDEX(Suppliers!$B$5:$B$12,MATCH(G71,Suppliers!$A$5:$A$12,0))</f>
        <v>Greenleaf Foods JSC (fictional)</v>
      </c>
      <c r="I71" s="18" t="n">
        <v>2.8</v>
      </c>
      <c r="J71" s="9" t="s">
        <v>224</v>
      </c>
      <c r="K71" s="9"/>
    </row>
    <row r="72" customFormat="false" ht="15" hidden="false" customHeight="false" outlineLevel="0" collapsed="false">
      <c r="A72" s="9" t="s">
        <v>432</v>
      </c>
      <c r="B72" s="9" t="s">
        <v>433</v>
      </c>
      <c r="C72" s="9" t="s">
        <v>421</v>
      </c>
      <c r="D72" s="9" t="s">
        <v>220</v>
      </c>
      <c r="E72" s="9" t="s">
        <v>434</v>
      </c>
      <c r="F72" s="9" t="s">
        <v>423</v>
      </c>
      <c r="G72" s="9" t="s">
        <v>424</v>
      </c>
      <c r="H72" s="9" t="str">
        <f aca="false">INDEX(Suppliers!$B$5:$B$12,MATCH(G72,Suppliers!$A$5:$A$12,0))</f>
        <v>Greenleaf Foods JSC (fictional)</v>
      </c>
      <c r="I72" s="18" t="n">
        <v>0.53</v>
      </c>
      <c r="J72" s="9" t="s">
        <v>224</v>
      </c>
      <c r="K72" s="9"/>
    </row>
    <row r="73" customFormat="false" ht="15" hidden="false" customHeight="false" outlineLevel="0" collapsed="false">
      <c r="A73" s="9" t="s">
        <v>435</v>
      </c>
      <c r="B73" s="9" t="s">
        <v>436</v>
      </c>
      <c r="C73" s="9" t="s">
        <v>421</v>
      </c>
      <c r="D73" s="9" t="s">
        <v>220</v>
      </c>
      <c r="E73" s="9" t="s">
        <v>437</v>
      </c>
      <c r="F73" s="9" t="s">
        <v>423</v>
      </c>
      <c r="G73" s="9" t="s">
        <v>424</v>
      </c>
      <c r="H73" s="9" t="str">
        <f aca="false">INDEX(Suppliers!$B$5:$B$12,MATCH(G73,Suppliers!$A$5:$A$12,0))</f>
        <v>Greenleaf Foods JSC (fictional)</v>
      </c>
      <c r="I73" s="18" t="n">
        <v>0.16</v>
      </c>
      <c r="J73" s="9" t="s">
        <v>224</v>
      </c>
      <c r="K73" s="9"/>
    </row>
    <row r="74" customFormat="false" ht="15" hidden="false" customHeight="false" outlineLevel="0" collapsed="false">
      <c r="A74" s="9" t="s">
        <v>438</v>
      </c>
      <c r="B74" s="9" t="s">
        <v>439</v>
      </c>
      <c r="C74" s="9" t="s">
        <v>421</v>
      </c>
      <c r="D74" s="9" t="s">
        <v>220</v>
      </c>
      <c r="E74" s="9" t="s">
        <v>440</v>
      </c>
      <c r="F74" s="9" t="s">
        <v>374</v>
      </c>
      <c r="G74" s="9" t="s">
        <v>441</v>
      </c>
      <c r="H74" s="9" t="str">
        <f aca="false">INDEX(Suppliers!$B$5:$B$12,MATCH(G74,Suppliers!$A$5:$A$12,0))</f>
        <v>Desert Palm Foodstuff Trading LLC (fictional)</v>
      </c>
      <c r="I74" s="18" t="n">
        <v>5.05</v>
      </c>
      <c r="J74" s="9" t="s">
        <v>224</v>
      </c>
      <c r="K74" s="9"/>
    </row>
    <row r="75" customFormat="false" ht="15" hidden="false" customHeight="false" outlineLevel="0" collapsed="false">
      <c r="A75" s="9" t="s">
        <v>442</v>
      </c>
      <c r="B75" s="9" t="s">
        <v>443</v>
      </c>
      <c r="C75" s="9" t="s">
        <v>421</v>
      </c>
      <c r="D75" s="9" t="s">
        <v>220</v>
      </c>
      <c r="E75" s="9" t="s">
        <v>444</v>
      </c>
      <c r="F75" s="9" t="s">
        <v>445</v>
      </c>
      <c r="G75" s="9" t="s">
        <v>441</v>
      </c>
      <c r="H75" s="9" t="str">
        <f aca="false">INDEX(Suppliers!$B$5:$B$12,MATCH(G75,Suppliers!$A$5:$A$12,0))</f>
        <v>Desert Palm Foodstuff Trading LLC (fictional)</v>
      </c>
      <c r="I75" s="18" t="n">
        <v>1.05</v>
      </c>
      <c r="J75" s="9" t="s">
        <v>224</v>
      </c>
      <c r="K75" s="9"/>
    </row>
    <row r="76" customFormat="false" ht="15" hidden="false" customHeight="false" outlineLevel="0" collapsed="false">
      <c r="A76" s="9" t="s">
        <v>446</v>
      </c>
      <c r="B76" s="9" t="s">
        <v>447</v>
      </c>
      <c r="C76" s="9" t="s">
        <v>421</v>
      </c>
      <c r="D76" s="9" t="s">
        <v>220</v>
      </c>
      <c r="E76" s="9" t="s">
        <v>448</v>
      </c>
      <c r="F76" s="9" t="s">
        <v>449</v>
      </c>
      <c r="G76" s="9" t="s">
        <v>441</v>
      </c>
      <c r="H76" s="9" t="str">
        <f aca="false">INDEX(Suppliers!$B$5:$B$12,MATCH(G76,Suppliers!$A$5:$A$12,0))</f>
        <v>Desert Palm Foodstuff Trading LLC (fictional)</v>
      </c>
      <c r="I76" s="18" t="n">
        <v>1</v>
      </c>
      <c r="J76" s="9" t="s">
        <v>224</v>
      </c>
      <c r="K76" s="9"/>
    </row>
    <row r="77" customFormat="false" ht="15" hidden="false" customHeight="false" outlineLevel="0" collapsed="false">
      <c r="A77" s="9" t="s">
        <v>450</v>
      </c>
      <c r="B77" s="9" t="s">
        <v>451</v>
      </c>
      <c r="C77" s="9" t="s">
        <v>421</v>
      </c>
      <c r="D77" s="9" t="s">
        <v>220</v>
      </c>
      <c r="E77" s="9" t="s">
        <v>452</v>
      </c>
      <c r="F77" s="9" t="s">
        <v>453</v>
      </c>
      <c r="G77" s="9" t="s">
        <v>441</v>
      </c>
      <c r="H77" s="9" t="str">
        <f aca="false">INDEX(Suppliers!$B$5:$B$12,MATCH(G77,Suppliers!$A$5:$A$12,0))</f>
        <v>Desert Palm Foodstuff Trading LLC (fictional)</v>
      </c>
      <c r="I77" s="18" t="n">
        <v>0.52</v>
      </c>
      <c r="J77" s="9" t="s">
        <v>224</v>
      </c>
      <c r="K77" s="9"/>
    </row>
    <row r="78" customFormat="false" ht="15" hidden="false" customHeight="false" outlineLevel="0" collapsed="false">
      <c r="A78" s="9" t="s">
        <v>454</v>
      </c>
      <c r="B78" s="9" t="s">
        <v>455</v>
      </c>
      <c r="C78" s="9" t="s">
        <v>421</v>
      </c>
      <c r="D78" s="9" t="s">
        <v>430</v>
      </c>
      <c r="E78" s="9" t="s">
        <v>456</v>
      </c>
      <c r="F78" s="9" t="s">
        <v>445</v>
      </c>
      <c r="G78" s="9" t="s">
        <v>441</v>
      </c>
      <c r="H78" s="9" t="str">
        <f aca="false">INDEX(Suppliers!$B$5:$B$12,MATCH(G78,Suppliers!$A$5:$A$12,0))</f>
        <v>Desert Palm Foodstuff Trading LLC (fictional)</v>
      </c>
      <c r="I78" s="18" t="n">
        <v>1.2</v>
      </c>
      <c r="J78" s="9" t="s">
        <v>224</v>
      </c>
      <c r="K78" s="9"/>
    </row>
    <row r="79" customFormat="false" ht="15" hidden="false" customHeight="false" outlineLevel="0" collapsed="false">
      <c r="A79" s="9" t="s">
        <v>457</v>
      </c>
      <c r="B79" s="9" t="s">
        <v>458</v>
      </c>
      <c r="C79" s="9" t="s">
        <v>421</v>
      </c>
      <c r="D79" s="9" t="s">
        <v>430</v>
      </c>
      <c r="E79" s="9" t="s">
        <v>459</v>
      </c>
      <c r="F79" s="9" t="s">
        <v>445</v>
      </c>
      <c r="G79" s="9" t="s">
        <v>441</v>
      </c>
      <c r="H79" s="9" t="str">
        <f aca="false">INDEX(Suppliers!$B$5:$B$12,MATCH(G79,Suppliers!$A$5:$A$12,0))</f>
        <v>Desert Palm Foodstuff Trading LLC (fictional)</v>
      </c>
      <c r="I79" s="18" t="n">
        <v>12.4</v>
      </c>
      <c r="J79" s="9" t="s">
        <v>224</v>
      </c>
      <c r="K79" s="9"/>
    </row>
    <row r="80" customFormat="false" ht="15" hidden="false" customHeight="false" outlineLevel="0" collapsed="false">
      <c r="A80" s="9" t="s">
        <v>460</v>
      </c>
      <c r="B80" s="9" t="s">
        <v>461</v>
      </c>
      <c r="C80" s="9" t="s">
        <v>421</v>
      </c>
      <c r="D80" s="9" t="s">
        <v>430</v>
      </c>
      <c r="E80" s="9" t="s">
        <v>462</v>
      </c>
      <c r="F80" s="9" t="s">
        <v>445</v>
      </c>
      <c r="G80" s="9" t="s">
        <v>441</v>
      </c>
      <c r="H80" s="9" t="str">
        <f aca="false">INDEX(Suppliers!$B$5:$B$12,MATCH(G80,Suppliers!$A$5:$A$12,0))</f>
        <v>Desert Palm Foodstuff Trading LLC (fictional)</v>
      </c>
      <c r="I80" s="18" t="n">
        <v>6.5</v>
      </c>
      <c r="J80" s="9" t="s">
        <v>224</v>
      </c>
      <c r="K80" s="9"/>
    </row>
    <row r="81" customFormat="false" ht="15" hidden="false" customHeight="false" outlineLevel="0" collapsed="false">
      <c r="A81" s="9" t="s">
        <v>463</v>
      </c>
      <c r="B81" s="9" t="s">
        <v>464</v>
      </c>
      <c r="C81" s="9" t="s">
        <v>421</v>
      </c>
      <c r="D81" s="9" t="s">
        <v>220</v>
      </c>
      <c r="E81" s="9" t="s">
        <v>465</v>
      </c>
      <c r="F81" s="9" t="s">
        <v>445</v>
      </c>
      <c r="G81" s="9" t="s">
        <v>441</v>
      </c>
      <c r="H81" s="9" t="str">
        <f aca="false">INDEX(Suppliers!$B$5:$B$12,MATCH(G81,Suppliers!$A$5:$A$12,0))</f>
        <v>Desert Palm Foodstuff Trading LLC (fictional)</v>
      </c>
      <c r="I81" s="18" t="n">
        <v>0.65</v>
      </c>
      <c r="J81" s="9" t="s">
        <v>224</v>
      </c>
      <c r="K81" s="9"/>
    </row>
    <row r="82" customFormat="false" ht="15" hidden="false" customHeight="false" outlineLevel="0" collapsed="false">
      <c r="A82" s="9" t="s">
        <v>466</v>
      </c>
      <c r="B82" s="9" t="s">
        <v>467</v>
      </c>
      <c r="C82" s="9" t="s">
        <v>421</v>
      </c>
      <c r="D82" s="9" t="s">
        <v>220</v>
      </c>
      <c r="E82" s="9" t="s">
        <v>468</v>
      </c>
      <c r="F82" s="9" t="s">
        <v>445</v>
      </c>
      <c r="G82" s="9" t="s">
        <v>441</v>
      </c>
      <c r="H82" s="9" t="str">
        <f aca="false">INDEX(Suppliers!$B$5:$B$12,MATCH(G82,Suppliers!$A$5:$A$12,0))</f>
        <v>Desert Palm Foodstuff Trading LLC (fictional)</v>
      </c>
      <c r="I82" s="18" t="n">
        <v>0.55</v>
      </c>
      <c r="J82" s="9" t="s">
        <v>224</v>
      </c>
      <c r="K82" s="9"/>
    </row>
    <row r="83" customFormat="false" ht="15" hidden="false" customHeight="false" outlineLevel="0" collapsed="false">
      <c r="A83" s="9" t="s">
        <v>469</v>
      </c>
      <c r="B83" s="9" t="s">
        <v>470</v>
      </c>
      <c r="C83" s="9" t="s">
        <v>421</v>
      </c>
      <c r="D83" s="9" t="s">
        <v>220</v>
      </c>
      <c r="E83" s="9" t="s">
        <v>471</v>
      </c>
      <c r="F83" s="9" t="s">
        <v>423</v>
      </c>
      <c r="G83" s="9" t="s">
        <v>424</v>
      </c>
      <c r="H83" s="9" t="str">
        <f aca="false">INDEX(Suppliers!$B$5:$B$12,MATCH(G83,Suppliers!$A$5:$A$12,0))</f>
        <v>Greenleaf Foods JSC (fictional)</v>
      </c>
      <c r="I83" s="18" t="n">
        <v>0.2</v>
      </c>
      <c r="J83" s="9" t="s">
        <v>224</v>
      </c>
      <c r="K83" s="9"/>
    </row>
    <row r="84" customFormat="false" ht="15" hidden="false" customHeight="false" outlineLevel="0" collapsed="false">
      <c r="A84" s="9" t="s">
        <v>472</v>
      </c>
      <c r="B84" s="9" t="s">
        <v>473</v>
      </c>
      <c r="C84" s="9" t="s">
        <v>421</v>
      </c>
      <c r="D84" s="9" t="s">
        <v>220</v>
      </c>
      <c r="E84" s="9" t="s">
        <v>474</v>
      </c>
      <c r="F84" s="9" t="s">
        <v>453</v>
      </c>
      <c r="G84" s="9" t="s">
        <v>441</v>
      </c>
      <c r="H84" s="9" t="str">
        <f aca="false">INDEX(Suppliers!$B$5:$B$12,MATCH(G84,Suppliers!$A$5:$A$12,0))</f>
        <v>Desert Palm Foodstuff Trading LLC (fictional)</v>
      </c>
      <c r="I84" s="18" t="n">
        <v>0.43</v>
      </c>
      <c r="J84" s="9" t="s">
        <v>224</v>
      </c>
      <c r="K84" s="9"/>
    </row>
  </sheetData>
  <autoFilter ref="A4:K84"/>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M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6"/>
    <col collapsed="false" customWidth="true" hidden="false" outlineLevel="0" max="4" min="4" style="0" width="34"/>
    <col collapsed="false" customWidth="true" hidden="false" outlineLevel="0" max="5" min="5" style="0" width="44"/>
    <col collapsed="false" customWidth="true" hidden="false" outlineLevel="0" max="6" min="6" style="0" width="10"/>
    <col collapsed="false" customWidth="true" hidden="false" outlineLevel="0" max="7" min="7" style="0" width="36"/>
    <col collapsed="false" customWidth="true" hidden="false" outlineLevel="0" max="8" min="8" style="0" width="10"/>
    <col collapsed="false" customWidth="true" hidden="false" outlineLevel="0" max="9" min="9" style="0" width="24"/>
    <col collapsed="false" customWidth="true" hidden="false" outlineLevel="0" max="10" min="10" style="0" width="12"/>
    <col collapsed="false" customWidth="true" hidden="false" outlineLevel="0" max="12" min="11" style="0" width="13"/>
    <col collapsed="false" customWidth="true" hidden="false" outlineLevel="0" max="13" min="13" style="0" width="34"/>
  </cols>
  <sheetData>
    <row r="1" customFormat="false" ht="15" hidden="false" customHeight="false" outlineLevel="0" collapsed="false">
      <c r="A1" s="1" t="s">
        <v>0</v>
      </c>
      <c r="B1" s="1"/>
      <c r="C1" s="1"/>
      <c r="D1" s="1"/>
      <c r="E1" s="1"/>
      <c r="F1" s="1"/>
      <c r="G1" s="1"/>
      <c r="H1" s="1"/>
      <c r="I1" s="1"/>
      <c r="J1" s="1"/>
      <c r="K1" s="1"/>
      <c r="L1" s="1"/>
      <c r="M1" s="1"/>
    </row>
    <row r="2" customFormat="false" ht="17.35" hidden="false" customHeight="false" outlineLevel="0" collapsed="false">
      <c r="A2" s="2" t="s">
        <v>475</v>
      </c>
    </row>
    <row r="3" customFormat="false" ht="15" hidden="false" customHeight="false" outlineLevel="0" collapsed="false">
      <c r="A3" s="3" t="s">
        <v>476</v>
      </c>
    </row>
    <row r="4" customFormat="false" ht="31.5" hidden="false" customHeight="true" outlineLevel="0" collapsed="false">
      <c r="A4" s="6" t="s">
        <v>477</v>
      </c>
      <c r="B4" s="6" t="s">
        <v>478</v>
      </c>
      <c r="C4" s="6" t="s">
        <v>479</v>
      </c>
      <c r="D4" s="6" t="s">
        <v>480</v>
      </c>
      <c r="E4" s="6" t="s">
        <v>481</v>
      </c>
      <c r="F4" s="6" t="s">
        <v>212</v>
      </c>
      <c r="G4" s="6" t="s">
        <v>213</v>
      </c>
      <c r="H4" s="6" t="s">
        <v>482</v>
      </c>
      <c r="I4" s="6" t="s">
        <v>483</v>
      </c>
      <c r="J4" s="6" t="s">
        <v>484</v>
      </c>
      <c r="K4" s="6" t="s">
        <v>485</v>
      </c>
      <c r="L4" s="6" t="s">
        <v>486</v>
      </c>
      <c r="M4" s="6" t="s">
        <v>487</v>
      </c>
    </row>
    <row r="5" customFormat="false" ht="15" hidden="false" customHeight="false" outlineLevel="0" collapsed="false">
      <c r="A5" s="9" t="s">
        <v>488</v>
      </c>
      <c r="B5" s="9" t="s">
        <v>489</v>
      </c>
      <c r="C5" s="9" t="s">
        <v>490</v>
      </c>
      <c r="D5" s="9" t="s">
        <v>491</v>
      </c>
      <c r="E5" s="9" t="s">
        <v>492</v>
      </c>
      <c r="F5" s="9" t="s">
        <v>223</v>
      </c>
      <c r="G5" s="9" t="str">
        <f aca="false">INDEX(Suppliers!$B$5:$B$12,MATCH(F5,Suppliers!$A$5:$A$12,0))</f>
        <v>Brightlink Electronics Co. (fictional)</v>
      </c>
      <c r="H5" s="9" t="s">
        <v>222</v>
      </c>
      <c r="I5" s="9" t="s">
        <v>493</v>
      </c>
      <c r="J5" s="9" t="s">
        <v>494</v>
      </c>
      <c r="K5" s="9" t="n">
        <v>3</v>
      </c>
      <c r="L5" s="9" t="n">
        <f aca="false">COUNTIF(Documents!$C$5:$C$83,A5)</f>
        <v>3</v>
      </c>
      <c r="M5" s="5" t="s">
        <v>495</v>
      </c>
    </row>
    <row r="6" customFormat="false" ht="15" hidden="false" customHeight="false" outlineLevel="0" collapsed="false">
      <c r="A6" s="9" t="s">
        <v>496</v>
      </c>
      <c r="B6" s="9" t="s">
        <v>497</v>
      </c>
      <c r="C6" s="9" t="s">
        <v>498</v>
      </c>
      <c r="D6" s="9" t="s">
        <v>499</v>
      </c>
      <c r="E6" s="9" t="s">
        <v>500</v>
      </c>
      <c r="F6" s="9" t="s">
        <v>375</v>
      </c>
      <c r="G6" s="9" t="str">
        <f aca="false">INDEX(Suppliers!$B$5:$B$12,MATCH(F6,Suppliers!$A$5:$A$12,0))</f>
        <v>Crestline Consumer Products Pvt Ltd (fictional)</v>
      </c>
      <c r="H6" s="9" t="s">
        <v>374</v>
      </c>
      <c r="I6" s="9" t="s">
        <v>493</v>
      </c>
      <c r="J6" s="9" t="s">
        <v>501</v>
      </c>
      <c r="K6" s="9" t="n">
        <v>2</v>
      </c>
      <c r="L6" s="9" t="n">
        <f aca="false">COUNTIF(Documents!$C$5:$C$83,A6)</f>
        <v>2</v>
      </c>
      <c r="M6" s="5" t="s">
        <v>502</v>
      </c>
    </row>
    <row r="7" customFormat="false" ht="15" hidden="false" customHeight="false" outlineLevel="0" collapsed="false">
      <c r="A7" s="9" t="s">
        <v>503</v>
      </c>
      <c r="B7" s="9" t="s">
        <v>504</v>
      </c>
      <c r="C7" s="9" t="s">
        <v>505</v>
      </c>
      <c r="D7" s="9" t="s">
        <v>506</v>
      </c>
      <c r="E7" s="9" t="s">
        <v>507</v>
      </c>
      <c r="F7" s="9" t="s">
        <v>252</v>
      </c>
      <c r="G7" s="9" t="str">
        <f aca="false">INDEX(Suppliers!$B$5:$B$12,MATCH(F7,Suppliers!$A$5:$A$12,0))</f>
        <v>Voltix Components Sdn Bhd (fictional)</v>
      </c>
      <c r="H7" s="9" t="s">
        <v>251</v>
      </c>
      <c r="I7" s="9" t="s">
        <v>493</v>
      </c>
      <c r="J7" s="9" t="s">
        <v>508</v>
      </c>
      <c r="K7" s="9" t="n">
        <v>2</v>
      </c>
      <c r="L7" s="9" t="n">
        <f aca="false">COUNTIF(Documents!$C$5:$C$83,A7)</f>
        <v>2</v>
      </c>
      <c r="M7" s="5" t="s">
        <v>509</v>
      </c>
    </row>
    <row r="8" customFormat="false" ht="15" hidden="false" customHeight="false" outlineLevel="0" collapsed="false">
      <c r="A8" s="9" t="s">
        <v>510</v>
      </c>
      <c r="B8" s="9" t="s">
        <v>511</v>
      </c>
      <c r="C8" s="9" t="s">
        <v>512</v>
      </c>
      <c r="D8" s="9" t="s">
        <v>491</v>
      </c>
      <c r="E8" s="9" t="s">
        <v>513</v>
      </c>
      <c r="F8" s="9" t="s">
        <v>223</v>
      </c>
      <c r="G8" s="9" t="str">
        <f aca="false">INDEX(Suppliers!$B$5:$B$12,MATCH(F8,Suppliers!$A$5:$A$12,0))</f>
        <v>Brightlink Electronics Co. (fictional)</v>
      </c>
      <c r="H8" s="9" t="s">
        <v>222</v>
      </c>
      <c r="I8" s="9" t="s">
        <v>493</v>
      </c>
      <c r="J8" s="9" t="s">
        <v>514</v>
      </c>
      <c r="K8" s="9" t="n">
        <v>3</v>
      </c>
      <c r="L8" s="9" t="n">
        <f aca="false">COUNTIF(Documents!$C$5:$C$83,A8)</f>
        <v>3</v>
      </c>
      <c r="M8" s="5" t="s">
        <v>515</v>
      </c>
    </row>
    <row r="9" customFormat="false" ht="15" hidden="false" customHeight="false" outlineLevel="0" collapsed="false">
      <c r="A9" s="9" t="s">
        <v>516</v>
      </c>
      <c r="B9" s="9" t="s">
        <v>517</v>
      </c>
      <c r="C9" s="9" t="s">
        <v>518</v>
      </c>
      <c r="D9" s="9" t="s">
        <v>519</v>
      </c>
      <c r="E9" s="9" t="s">
        <v>520</v>
      </c>
      <c r="F9" s="9" t="s">
        <v>441</v>
      </c>
      <c r="G9" s="9" t="str">
        <f aca="false">INDEX(Suppliers!$B$5:$B$12,MATCH(F9,Suppliers!$A$5:$A$12,0))</f>
        <v>Desert Palm Foodstuff Trading LLC (fictional)</v>
      </c>
      <c r="H9" s="9" t="s">
        <v>445</v>
      </c>
      <c r="I9" s="9" t="s">
        <v>493</v>
      </c>
      <c r="J9" s="9" t="s">
        <v>521</v>
      </c>
      <c r="K9" s="9" t="n">
        <v>4</v>
      </c>
      <c r="L9" s="9" t="n">
        <f aca="false">COUNTIF(Documents!$C$5:$C$83,A9)</f>
        <v>4</v>
      </c>
      <c r="M9" s="5" t="s">
        <v>502</v>
      </c>
    </row>
    <row r="10" customFormat="false" ht="15" hidden="false" customHeight="false" outlineLevel="0" collapsed="false">
      <c r="A10" s="9" t="s">
        <v>522</v>
      </c>
      <c r="B10" s="9" t="s">
        <v>523</v>
      </c>
      <c r="C10" s="9" t="s">
        <v>524</v>
      </c>
      <c r="D10" s="9" t="s">
        <v>491</v>
      </c>
      <c r="E10" s="9" t="s">
        <v>525</v>
      </c>
      <c r="F10" s="9" t="s">
        <v>223</v>
      </c>
      <c r="G10" s="9" t="str">
        <f aca="false">INDEX(Suppliers!$B$5:$B$12,MATCH(F10,Suppliers!$A$5:$A$12,0))</f>
        <v>Brightlink Electronics Co. (fictional)</v>
      </c>
      <c r="H10" s="9" t="s">
        <v>222</v>
      </c>
      <c r="I10" s="9" t="s">
        <v>493</v>
      </c>
      <c r="J10" s="9" t="s">
        <v>526</v>
      </c>
      <c r="K10" s="9" t="n">
        <v>2</v>
      </c>
      <c r="L10" s="9" t="n">
        <f aca="false">COUNTIF(Documents!$C$5:$C$83,A10)</f>
        <v>2</v>
      </c>
      <c r="M10" s="5" t="s">
        <v>502</v>
      </c>
    </row>
    <row r="11" customFormat="false" ht="15" hidden="false" customHeight="false" outlineLevel="0" collapsed="false">
      <c r="A11" s="9" t="s">
        <v>527</v>
      </c>
      <c r="B11" s="9" t="s">
        <v>528</v>
      </c>
      <c r="C11" s="9" t="s">
        <v>529</v>
      </c>
      <c r="D11" s="9" t="s">
        <v>530</v>
      </c>
      <c r="E11" s="9" t="s">
        <v>531</v>
      </c>
      <c r="F11" s="9" t="s">
        <v>424</v>
      </c>
      <c r="G11" s="9" t="str">
        <f aca="false">INDEX(Suppliers!$B$5:$B$12,MATCH(F11,Suppliers!$A$5:$A$12,0))</f>
        <v>Greenleaf Foods JSC (fictional)</v>
      </c>
      <c r="H11" s="9" t="s">
        <v>423</v>
      </c>
      <c r="I11" s="9" t="s">
        <v>493</v>
      </c>
      <c r="J11" s="9" t="s">
        <v>532</v>
      </c>
      <c r="K11" s="9" t="n">
        <v>3</v>
      </c>
      <c r="L11" s="9" t="n">
        <f aca="false">COUNTIF(Documents!$C$5:$C$83,A11)</f>
        <v>3</v>
      </c>
      <c r="M11" s="5" t="s">
        <v>533</v>
      </c>
    </row>
    <row r="12" customFormat="false" ht="15" hidden="false" customHeight="false" outlineLevel="0" collapsed="false">
      <c r="A12" s="9" t="s">
        <v>534</v>
      </c>
      <c r="B12" s="9" t="s">
        <v>535</v>
      </c>
      <c r="C12" s="9" t="s">
        <v>536</v>
      </c>
      <c r="D12" s="9" t="s">
        <v>506</v>
      </c>
      <c r="E12" s="9" t="s">
        <v>537</v>
      </c>
      <c r="F12" s="9" t="s">
        <v>252</v>
      </c>
      <c r="G12" s="9" t="str">
        <f aca="false">INDEX(Suppliers!$B$5:$B$12,MATCH(F12,Suppliers!$A$5:$A$12,0))</f>
        <v>Voltix Components Sdn Bhd (fictional)</v>
      </c>
      <c r="H12" s="9" t="s">
        <v>251</v>
      </c>
      <c r="I12" s="9" t="s">
        <v>493</v>
      </c>
      <c r="J12" s="9" t="s">
        <v>538</v>
      </c>
      <c r="K12" s="9" t="n">
        <v>3</v>
      </c>
      <c r="L12" s="9" t="n">
        <f aca="false">COUNTIF(Documents!$C$5:$C$83,A12)</f>
        <v>3</v>
      </c>
      <c r="M12" s="5" t="s">
        <v>539</v>
      </c>
    </row>
    <row r="13" customFormat="false" ht="15" hidden="false" customHeight="false" outlineLevel="0" collapsed="false">
      <c r="A13" s="9" t="s">
        <v>540</v>
      </c>
      <c r="B13" s="9" t="s">
        <v>541</v>
      </c>
      <c r="C13" s="9" t="s">
        <v>542</v>
      </c>
      <c r="D13" s="9" t="s">
        <v>491</v>
      </c>
      <c r="E13" s="9" t="s">
        <v>543</v>
      </c>
      <c r="F13" s="9" t="s">
        <v>223</v>
      </c>
      <c r="G13" s="9" t="str">
        <f aca="false">INDEX(Suppliers!$B$5:$B$12,MATCH(F13,Suppliers!$A$5:$A$12,0))</f>
        <v>Brightlink Electronics Co. (fictional)</v>
      </c>
      <c r="H13" s="9" t="s">
        <v>222</v>
      </c>
      <c r="I13" s="9" t="s">
        <v>493</v>
      </c>
      <c r="J13" s="9" t="s">
        <v>544</v>
      </c>
      <c r="K13" s="9" t="n">
        <v>2</v>
      </c>
      <c r="L13" s="9" t="n">
        <f aca="false">COUNTIF(Documents!$C$5:$C$83,A13)</f>
        <v>2</v>
      </c>
      <c r="M13" s="5" t="s">
        <v>545</v>
      </c>
    </row>
    <row r="14" customFormat="false" ht="15" hidden="false" customHeight="false" outlineLevel="0" collapsed="false">
      <c r="A14" s="9" t="s">
        <v>546</v>
      </c>
      <c r="B14" s="9" t="s">
        <v>547</v>
      </c>
      <c r="C14" s="9" t="s">
        <v>548</v>
      </c>
      <c r="D14" s="9" t="s">
        <v>549</v>
      </c>
      <c r="E14" s="9" t="s">
        <v>550</v>
      </c>
      <c r="F14" s="9" t="s">
        <v>323</v>
      </c>
      <c r="G14" s="9" t="str">
        <f aca="false">INDEX(Suppliers!$B$5:$B$12,MATCH(F14,Suppliers!$A$5:$A$12,0))</f>
        <v>Everhome Housewares Ltd (fictional)</v>
      </c>
      <c r="H14" s="9" t="s">
        <v>222</v>
      </c>
      <c r="I14" s="9" t="s">
        <v>493</v>
      </c>
      <c r="J14" s="9" t="s">
        <v>551</v>
      </c>
      <c r="K14" s="9" t="n">
        <v>3</v>
      </c>
      <c r="L14" s="9" t="n">
        <f aca="false">COUNTIF(Documents!$C$5:$C$83,A14)</f>
        <v>3</v>
      </c>
      <c r="M14" s="5" t="s">
        <v>502</v>
      </c>
    </row>
    <row r="15" customFormat="false" ht="15" hidden="false" customHeight="false" outlineLevel="0" collapsed="false">
      <c r="A15" s="9" t="s">
        <v>552</v>
      </c>
      <c r="B15" s="9" t="s">
        <v>553</v>
      </c>
      <c r="C15" s="9" t="s">
        <v>548</v>
      </c>
      <c r="D15" s="9" t="s">
        <v>491</v>
      </c>
      <c r="E15" s="9" t="s">
        <v>554</v>
      </c>
      <c r="F15" s="9" t="s">
        <v>223</v>
      </c>
      <c r="G15" s="9" t="str">
        <f aca="false">INDEX(Suppliers!$B$5:$B$12,MATCH(F15,Suppliers!$A$5:$A$12,0))</f>
        <v>Brightlink Electronics Co. (fictional)</v>
      </c>
      <c r="H15" s="9" t="s">
        <v>222</v>
      </c>
      <c r="I15" s="9" t="s">
        <v>493</v>
      </c>
      <c r="J15" s="9" t="s">
        <v>555</v>
      </c>
      <c r="K15" s="9" t="n">
        <v>3</v>
      </c>
      <c r="L15" s="9" t="n">
        <f aca="false">COUNTIF(Documents!$C$5:$C$83,A15)</f>
        <v>3</v>
      </c>
      <c r="M15" s="5" t="s">
        <v>556</v>
      </c>
    </row>
    <row r="16" customFormat="false" ht="15" hidden="false" customHeight="false" outlineLevel="0" collapsed="false">
      <c r="A16" s="9" t="s">
        <v>557</v>
      </c>
      <c r="B16" s="9" t="s">
        <v>558</v>
      </c>
      <c r="C16" s="9" t="s">
        <v>559</v>
      </c>
      <c r="D16" s="9" t="s">
        <v>560</v>
      </c>
      <c r="E16" s="9" t="s">
        <v>561</v>
      </c>
      <c r="F16" s="9" t="s">
        <v>288</v>
      </c>
      <c r="G16" s="9" t="str">
        <f aca="false">INDEX(Suppliers!$B$5:$B$12,MATCH(F16,Suppliers!$A$5:$A$12,0))</f>
        <v>Anka Accessories Trading (fictional)</v>
      </c>
      <c r="H16" s="9" t="s">
        <v>287</v>
      </c>
      <c r="I16" s="9" t="s">
        <v>493</v>
      </c>
      <c r="J16" s="9" t="s">
        <v>562</v>
      </c>
      <c r="K16" s="9" t="n">
        <v>3</v>
      </c>
      <c r="L16" s="9" t="n">
        <f aca="false">COUNTIF(Documents!$C$5:$C$83,A16)</f>
        <v>3</v>
      </c>
      <c r="M16" s="5" t="s">
        <v>563</v>
      </c>
    </row>
    <row r="17" customFormat="false" ht="15" hidden="false" customHeight="false" outlineLevel="0" collapsed="false">
      <c r="A17" s="9" t="s">
        <v>564</v>
      </c>
      <c r="B17" s="9" t="s">
        <v>565</v>
      </c>
      <c r="C17" s="9" t="s">
        <v>566</v>
      </c>
      <c r="D17" s="9" t="s">
        <v>499</v>
      </c>
      <c r="E17" s="9" t="s">
        <v>567</v>
      </c>
      <c r="F17" s="9" t="s">
        <v>375</v>
      </c>
      <c r="G17" s="9" t="str">
        <f aca="false">INDEX(Suppliers!$B$5:$B$12,MATCH(F17,Suppliers!$A$5:$A$12,0))</f>
        <v>Crestline Consumer Products Pvt Ltd (fictional)</v>
      </c>
      <c r="H17" s="9" t="s">
        <v>374</v>
      </c>
      <c r="I17" s="9" t="s">
        <v>493</v>
      </c>
      <c r="J17" s="9" t="s">
        <v>568</v>
      </c>
      <c r="K17" s="9" t="n">
        <v>2</v>
      </c>
      <c r="L17" s="9" t="n">
        <f aca="false">COUNTIF(Documents!$C$5:$C$83,A17)</f>
        <v>2</v>
      </c>
      <c r="M17" s="5" t="s">
        <v>569</v>
      </c>
    </row>
    <row r="18" customFormat="false" ht="15" hidden="false" customHeight="false" outlineLevel="0" collapsed="false">
      <c r="A18" s="9" t="s">
        <v>570</v>
      </c>
      <c r="B18" s="9" t="s">
        <v>571</v>
      </c>
      <c r="C18" s="9" t="s">
        <v>572</v>
      </c>
      <c r="D18" s="9" t="s">
        <v>499</v>
      </c>
      <c r="E18" s="9" t="s">
        <v>573</v>
      </c>
      <c r="F18" s="9" t="s">
        <v>375</v>
      </c>
      <c r="G18" s="9" t="str">
        <f aca="false">INDEX(Suppliers!$B$5:$B$12,MATCH(F18,Suppliers!$A$5:$A$12,0))</f>
        <v>Crestline Consumer Products Pvt Ltd (fictional)</v>
      </c>
      <c r="H18" s="9" t="s">
        <v>374</v>
      </c>
      <c r="I18" s="9" t="s">
        <v>493</v>
      </c>
      <c r="J18" s="9" t="s">
        <v>574</v>
      </c>
      <c r="K18" s="9" t="n">
        <v>2</v>
      </c>
      <c r="L18" s="9" t="n">
        <f aca="false">COUNTIF(Documents!$C$5:$C$83,A18)</f>
        <v>2</v>
      </c>
      <c r="M18" s="5" t="s">
        <v>575</v>
      </c>
    </row>
    <row r="19" customFormat="false" ht="15" hidden="false" customHeight="false" outlineLevel="0" collapsed="false">
      <c r="A19" s="9" t="s">
        <v>576</v>
      </c>
      <c r="B19" s="9" t="s">
        <v>577</v>
      </c>
      <c r="C19" s="9" t="s">
        <v>578</v>
      </c>
      <c r="D19" s="9" t="s">
        <v>579</v>
      </c>
      <c r="E19" s="9" t="s">
        <v>580</v>
      </c>
      <c r="F19" s="9" t="s">
        <v>332</v>
      </c>
      <c r="G19" s="9" t="str">
        <f aca="false">INDEX(Suppliers!$B$5:$B$12,MATCH(F19,Suppliers!$A$5:$A$12,0))</f>
        <v>Nordkap Home Appliances GmbH (fictional)</v>
      </c>
      <c r="H19" s="9" t="s">
        <v>331</v>
      </c>
      <c r="I19" s="9" t="s">
        <v>493</v>
      </c>
      <c r="J19" s="9" t="s">
        <v>581</v>
      </c>
      <c r="K19" s="9" t="n">
        <v>3</v>
      </c>
      <c r="L19" s="9" t="n">
        <f aca="false">COUNTIF(Documents!$C$5:$C$83,A19)</f>
        <v>3</v>
      </c>
      <c r="M19" s="5" t="s">
        <v>582</v>
      </c>
    </row>
    <row r="20" customFormat="false" ht="15" hidden="false" customHeight="false" outlineLevel="0" collapsed="false">
      <c r="A20" s="9" t="s">
        <v>583</v>
      </c>
      <c r="B20" s="9" t="s">
        <v>584</v>
      </c>
      <c r="C20" s="9" t="s">
        <v>585</v>
      </c>
      <c r="D20" s="9" t="s">
        <v>549</v>
      </c>
      <c r="E20" s="9" t="s">
        <v>586</v>
      </c>
      <c r="F20" s="9" t="s">
        <v>323</v>
      </c>
      <c r="G20" s="9" t="str">
        <f aca="false">INDEX(Suppliers!$B$5:$B$12,MATCH(F20,Suppliers!$A$5:$A$12,0))</f>
        <v>Everhome Housewares Ltd (fictional)</v>
      </c>
      <c r="H20" s="9" t="s">
        <v>222</v>
      </c>
      <c r="I20" s="9" t="s">
        <v>493</v>
      </c>
      <c r="J20" s="9" t="s">
        <v>587</v>
      </c>
      <c r="K20" s="9" t="n">
        <v>2</v>
      </c>
      <c r="L20" s="9" t="n">
        <f aca="false">COUNTIF(Documents!$C$5:$C$83,A20)</f>
        <v>1</v>
      </c>
      <c r="M20" s="5" t="s">
        <v>588</v>
      </c>
    </row>
    <row r="21" customFormat="false" ht="15" hidden="false" customHeight="false" outlineLevel="0" collapsed="false">
      <c r="A21" s="9" t="s">
        <v>589</v>
      </c>
      <c r="B21" s="9" t="s">
        <v>590</v>
      </c>
      <c r="C21" s="9" t="s">
        <v>591</v>
      </c>
      <c r="D21" s="9" t="s">
        <v>549</v>
      </c>
      <c r="E21" s="9" t="s">
        <v>592</v>
      </c>
      <c r="F21" s="9" t="s">
        <v>323</v>
      </c>
      <c r="G21" s="9" t="str">
        <f aca="false">INDEX(Suppliers!$B$5:$B$12,MATCH(F21,Suppliers!$A$5:$A$12,0))</f>
        <v>Everhome Housewares Ltd (fictional)</v>
      </c>
      <c r="H21" s="9" t="s">
        <v>222</v>
      </c>
      <c r="I21" s="9" t="s">
        <v>493</v>
      </c>
      <c r="J21" s="9" t="s">
        <v>593</v>
      </c>
      <c r="K21" s="9" t="n">
        <v>3</v>
      </c>
      <c r="L21" s="9" t="n">
        <f aca="false">COUNTIF(Documents!$C$5:$C$83,A21)</f>
        <v>3</v>
      </c>
      <c r="M21" s="5" t="s">
        <v>594</v>
      </c>
    </row>
    <row r="22" customFormat="false" ht="15" hidden="false" customHeight="false" outlineLevel="0" collapsed="false">
      <c r="A22" s="9" t="s">
        <v>595</v>
      </c>
      <c r="B22" s="9" t="s">
        <v>596</v>
      </c>
      <c r="C22" s="9" t="s">
        <v>597</v>
      </c>
      <c r="D22" s="9" t="s">
        <v>530</v>
      </c>
      <c r="E22" s="9" t="s">
        <v>598</v>
      </c>
      <c r="F22" s="9" t="s">
        <v>424</v>
      </c>
      <c r="G22" s="9" t="str">
        <f aca="false">INDEX(Suppliers!$B$5:$B$12,MATCH(F22,Suppliers!$A$5:$A$12,0))</f>
        <v>Greenleaf Foods JSC (fictional)</v>
      </c>
      <c r="H22" s="9" t="s">
        <v>423</v>
      </c>
      <c r="I22" s="9" t="s">
        <v>493</v>
      </c>
      <c r="J22" s="9" t="s">
        <v>599</v>
      </c>
      <c r="K22" s="9" t="n">
        <v>3</v>
      </c>
      <c r="L22" s="9" t="n">
        <f aca="false">COUNTIF(Documents!$C$5:$C$83,A22)</f>
        <v>3</v>
      </c>
      <c r="M22" s="5" t="s">
        <v>600</v>
      </c>
    </row>
    <row r="23" customFormat="false" ht="22.35" hidden="false" customHeight="false" outlineLevel="0" collapsed="false">
      <c r="A23" s="9" t="s">
        <v>601</v>
      </c>
      <c r="B23" s="9" t="s">
        <v>602</v>
      </c>
      <c r="C23" s="9" t="s">
        <v>603</v>
      </c>
      <c r="D23" s="9" t="s">
        <v>499</v>
      </c>
      <c r="E23" s="9" t="s">
        <v>604</v>
      </c>
      <c r="F23" s="9" t="s">
        <v>375</v>
      </c>
      <c r="G23" s="9" t="str">
        <f aca="false">INDEX(Suppliers!$B$5:$B$12,MATCH(F23,Suppliers!$A$5:$A$12,0))</f>
        <v>Crestline Consumer Products Pvt Ltd (fictional)</v>
      </c>
      <c r="H23" s="9" t="s">
        <v>374</v>
      </c>
      <c r="I23" s="9" t="s">
        <v>493</v>
      </c>
      <c r="J23" s="9" t="s">
        <v>605</v>
      </c>
      <c r="K23" s="9" t="n">
        <v>2</v>
      </c>
      <c r="L23" s="9" t="n">
        <f aca="false">COUNTIF(Documents!$C$5:$C$83,A23)</f>
        <v>2</v>
      </c>
      <c r="M23" s="5" t="s">
        <v>606</v>
      </c>
    </row>
    <row r="24" customFormat="false" ht="15" hidden="false" customHeight="false" outlineLevel="0" collapsed="false">
      <c r="A24" s="9" t="s">
        <v>607</v>
      </c>
      <c r="B24" s="9" t="s">
        <v>608</v>
      </c>
      <c r="C24" s="9" t="s">
        <v>609</v>
      </c>
      <c r="D24" s="9" t="s">
        <v>560</v>
      </c>
      <c r="E24" s="9" t="s">
        <v>610</v>
      </c>
      <c r="F24" s="9" t="s">
        <v>288</v>
      </c>
      <c r="G24" s="9" t="str">
        <f aca="false">INDEX(Suppliers!$B$5:$B$12,MATCH(F24,Suppliers!$A$5:$A$12,0))</f>
        <v>Anka Accessories Trading (fictional)</v>
      </c>
      <c r="H24" s="9" t="s">
        <v>287</v>
      </c>
      <c r="I24" s="9" t="s">
        <v>493</v>
      </c>
      <c r="J24" s="9" t="s">
        <v>611</v>
      </c>
      <c r="K24" s="9" t="n">
        <v>3</v>
      </c>
      <c r="L24" s="9" t="n">
        <f aca="false">COUNTIF(Documents!$C$5:$C$83,A24)</f>
        <v>3</v>
      </c>
      <c r="M24" s="5" t="s">
        <v>612</v>
      </c>
    </row>
    <row r="25" customFormat="false" ht="15" hidden="false" customHeight="false" outlineLevel="0" collapsed="false">
      <c r="A25" s="9" t="s">
        <v>613</v>
      </c>
      <c r="B25" s="9" t="s">
        <v>614</v>
      </c>
      <c r="C25" s="9" t="s">
        <v>609</v>
      </c>
      <c r="D25" s="9" t="s">
        <v>506</v>
      </c>
      <c r="E25" s="9" t="s">
        <v>615</v>
      </c>
      <c r="F25" s="9" t="s">
        <v>252</v>
      </c>
      <c r="G25" s="9" t="str">
        <f aca="false">INDEX(Suppliers!$B$5:$B$12,MATCH(F25,Suppliers!$A$5:$A$12,0))</f>
        <v>Voltix Components Sdn Bhd (fictional)</v>
      </c>
      <c r="H25" s="9" t="s">
        <v>251</v>
      </c>
      <c r="I25" s="9" t="s">
        <v>493</v>
      </c>
      <c r="J25" s="9" t="s">
        <v>616</v>
      </c>
      <c r="K25" s="9" t="n">
        <v>3</v>
      </c>
      <c r="L25" s="9" t="n">
        <f aca="false">COUNTIF(Documents!$C$5:$C$83,A25)</f>
        <v>3</v>
      </c>
      <c r="M25" s="5" t="s">
        <v>617</v>
      </c>
    </row>
    <row r="26" customFormat="false" ht="15" hidden="false" customHeight="false" outlineLevel="0" collapsed="false">
      <c r="A26" s="9" t="s">
        <v>618</v>
      </c>
      <c r="B26" s="9" t="s">
        <v>619</v>
      </c>
      <c r="C26" s="9" t="s">
        <v>620</v>
      </c>
      <c r="D26" s="9" t="s">
        <v>491</v>
      </c>
      <c r="E26" s="9" t="s">
        <v>621</v>
      </c>
      <c r="F26" s="9" t="s">
        <v>223</v>
      </c>
      <c r="G26" s="9" t="str">
        <f aca="false">INDEX(Suppliers!$B$5:$B$12,MATCH(F26,Suppliers!$A$5:$A$12,0))</f>
        <v>Brightlink Electronics Co. (fictional)</v>
      </c>
      <c r="H26" s="9" t="s">
        <v>222</v>
      </c>
      <c r="I26" s="9" t="s">
        <v>493</v>
      </c>
      <c r="J26" s="9" t="s">
        <v>622</v>
      </c>
      <c r="K26" s="9" t="n">
        <v>3</v>
      </c>
      <c r="L26" s="9" t="n">
        <f aca="false">COUNTIF(Documents!$C$5:$C$83,A26)</f>
        <v>3</v>
      </c>
      <c r="M26" s="5" t="s">
        <v>623</v>
      </c>
    </row>
    <row r="27" customFormat="false" ht="22.35" hidden="false" customHeight="false" outlineLevel="0" collapsed="false">
      <c r="A27" s="9" t="s">
        <v>624</v>
      </c>
      <c r="B27" s="9" t="s">
        <v>625</v>
      </c>
      <c r="C27" s="9" t="s">
        <v>626</v>
      </c>
      <c r="D27" s="9" t="s">
        <v>519</v>
      </c>
      <c r="E27" s="9" t="s">
        <v>627</v>
      </c>
      <c r="F27" s="9" t="s">
        <v>441</v>
      </c>
      <c r="G27" s="9" t="str">
        <f aca="false">INDEX(Suppliers!$B$5:$B$12,MATCH(F27,Suppliers!$A$5:$A$12,0))</f>
        <v>Desert Palm Foodstuff Trading LLC (fictional)</v>
      </c>
      <c r="H27" s="9" t="s">
        <v>445</v>
      </c>
      <c r="I27" s="9" t="s">
        <v>493</v>
      </c>
      <c r="J27" s="9" t="s">
        <v>628</v>
      </c>
      <c r="K27" s="9" t="n">
        <v>3</v>
      </c>
      <c r="L27" s="9" t="n">
        <f aca="false">COUNTIF(Documents!$C$5:$C$83,A27)</f>
        <v>3</v>
      </c>
      <c r="M27" s="5" t="s">
        <v>629</v>
      </c>
    </row>
    <row r="28" customFormat="false" ht="15" hidden="false" customHeight="false" outlineLevel="0" collapsed="false">
      <c r="A28" s="9" t="s">
        <v>630</v>
      </c>
      <c r="B28" s="9" t="s">
        <v>631</v>
      </c>
      <c r="C28" s="9" t="s">
        <v>632</v>
      </c>
      <c r="D28" s="9" t="s">
        <v>519</v>
      </c>
      <c r="E28" s="9" t="s">
        <v>633</v>
      </c>
      <c r="F28" s="9" t="s">
        <v>441</v>
      </c>
      <c r="G28" s="9" t="str">
        <f aca="false">INDEX(Suppliers!$B$5:$B$12,MATCH(F28,Suppliers!$A$5:$A$12,0))</f>
        <v>Desert Palm Foodstuff Trading LLC (fictional)</v>
      </c>
      <c r="H28" s="9" t="s">
        <v>445</v>
      </c>
      <c r="I28" s="9" t="s">
        <v>493</v>
      </c>
      <c r="J28" s="9" t="s">
        <v>634</v>
      </c>
      <c r="K28" s="9" t="n">
        <v>2</v>
      </c>
      <c r="L28" s="9" t="n">
        <f aca="false">COUNTIF(Documents!$C$5:$C$83,A28)</f>
        <v>2</v>
      </c>
      <c r="M28" s="5" t="s">
        <v>635</v>
      </c>
    </row>
    <row r="29" customFormat="false" ht="15" hidden="false" customHeight="false" outlineLevel="0" collapsed="false">
      <c r="A29" s="9" t="s">
        <v>636</v>
      </c>
      <c r="B29" s="9" t="s">
        <v>637</v>
      </c>
      <c r="C29" s="9" t="s">
        <v>638</v>
      </c>
      <c r="D29" s="9" t="s">
        <v>560</v>
      </c>
      <c r="E29" s="9" t="s">
        <v>639</v>
      </c>
      <c r="F29" s="9" t="s">
        <v>288</v>
      </c>
      <c r="G29" s="9" t="str">
        <f aca="false">INDEX(Suppliers!$B$5:$B$12,MATCH(F29,Suppliers!$A$5:$A$12,0))</f>
        <v>Anka Accessories Trading (fictional)</v>
      </c>
      <c r="H29" s="9" t="s">
        <v>287</v>
      </c>
      <c r="I29" s="9" t="s">
        <v>493</v>
      </c>
      <c r="J29" s="9" t="s">
        <v>640</v>
      </c>
      <c r="K29" s="9" t="n">
        <v>3</v>
      </c>
      <c r="L29" s="9" t="n">
        <f aca="false">COUNTIF(Documents!$C$5:$C$83,A29)</f>
        <v>3</v>
      </c>
      <c r="M29" s="5" t="s">
        <v>641</v>
      </c>
    </row>
    <row r="30" customFormat="false" ht="15" hidden="false" customHeight="false" outlineLevel="0" collapsed="false">
      <c r="A30" s="9" t="s">
        <v>642</v>
      </c>
      <c r="B30" s="9" t="s">
        <v>643</v>
      </c>
      <c r="C30" s="9" t="s">
        <v>644</v>
      </c>
      <c r="D30" s="9" t="s">
        <v>579</v>
      </c>
      <c r="E30" s="9" t="s">
        <v>645</v>
      </c>
      <c r="F30" s="9" t="s">
        <v>332</v>
      </c>
      <c r="G30" s="9" t="str">
        <f aca="false">INDEX(Suppliers!$B$5:$B$12,MATCH(F30,Suppliers!$A$5:$A$12,0))</f>
        <v>Nordkap Home Appliances GmbH (fictional)</v>
      </c>
      <c r="H30" s="9" t="s">
        <v>331</v>
      </c>
      <c r="I30" s="9" t="s">
        <v>493</v>
      </c>
      <c r="J30" s="9" t="s">
        <v>646</v>
      </c>
      <c r="K30" s="9" t="n">
        <v>3</v>
      </c>
      <c r="L30" s="9" t="n">
        <f aca="false">COUNTIF(Documents!$C$5:$C$83,A30)</f>
        <v>3</v>
      </c>
      <c r="M30" s="5" t="s">
        <v>502</v>
      </c>
    </row>
    <row r="31" customFormat="false" ht="15" hidden="false" customHeight="false" outlineLevel="0" collapsed="false">
      <c r="A31" s="9" t="s">
        <v>647</v>
      </c>
      <c r="B31" s="9" t="s">
        <v>648</v>
      </c>
      <c r="C31" s="9" t="s">
        <v>644</v>
      </c>
      <c r="D31" s="9" t="s">
        <v>499</v>
      </c>
      <c r="E31" s="9" t="s">
        <v>649</v>
      </c>
      <c r="F31" s="9" t="s">
        <v>375</v>
      </c>
      <c r="G31" s="9" t="str">
        <f aca="false">INDEX(Suppliers!$B$5:$B$12,MATCH(F31,Suppliers!$A$5:$A$12,0))</f>
        <v>Crestline Consumer Products Pvt Ltd (fictional)</v>
      </c>
      <c r="H31" s="9" t="s">
        <v>374</v>
      </c>
      <c r="I31" s="9" t="s">
        <v>493</v>
      </c>
      <c r="J31" s="9" t="s">
        <v>650</v>
      </c>
      <c r="K31" s="9" t="n">
        <v>2</v>
      </c>
      <c r="L31" s="9" t="n">
        <f aca="false">COUNTIF(Documents!$C$5:$C$83,A31)</f>
        <v>2</v>
      </c>
      <c r="M31" s="5" t="s">
        <v>502</v>
      </c>
    </row>
    <row r="32" customFormat="false" ht="15" hidden="false" customHeight="false" outlineLevel="0" collapsed="false">
      <c r="A32" s="9" t="s">
        <v>651</v>
      </c>
      <c r="B32" s="9" t="s">
        <v>652</v>
      </c>
      <c r="C32" s="9" t="s">
        <v>653</v>
      </c>
      <c r="D32" s="9" t="s">
        <v>530</v>
      </c>
      <c r="E32" s="9" t="s">
        <v>654</v>
      </c>
      <c r="F32" s="9" t="s">
        <v>424</v>
      </c>
      <c r="G32" s="9" t="str">
        <f aca="false">INDEX(Suppliers!$B$5:$B$12,MATCH(F32,Suppliers!$A$5:$A$12,0))</f>
        <v>Greenleaf Foods JSC (fictional)</v>
      </c>
      <c r="H32" s="9" t="s">
        <v>423</v>
      </c>
      <c r="I32" s="9" t="s">
        <v>493</v>
      </c>
      <c r="J32" s="9" t="s">
        <v>655</v>
      </c>
      <c r="K32" s="9" t="n">
        <v>3</v>
      </c>
      <c r="L32" s="9" t="n">
        <f aca="false">COUNTIF(Documents!$C$5:$C$83,A32)</f>
        <v>3</v>
      </c>
      <c r="M32" s="5" t="s">
        <v>502</v>
      </c>
    </row>
    <row r="33" customFormat="false" ht="15" hidden="false" customHeight="false" outlineLevel="0" collapsed="false">
      <c r="A33" s="9" t="s">
        <v>656</v>
      </c>
      <c r="B33" s="9" t="s">
        <v>657</v>
      </c>
      <c r="C33" s="9" t="s">
        <v>658</v>
      </c>
      <c r="D33" s="9" t="s">
        <v>506</v>
      </c>
      <c r="E33" s="9" t="s">
        <v>659</v>
      </c>
      <c r="F33" s="9" t="s">
        <v>252</v>
      </c>
      <c r="G33" s="9" t="str">
        <f aca="false">INDEX(Suppliers!$B$5:$B$12,MATCH(F33,Suppliers!$A$5:$A$12,0))</f>
        <v>Voltix Components Sdn Bhd (fictional)</v>
      </c>
      <c r="H33" s="9" t="s">
        <v>251</v>
      </c>
      <c r="I33" s="9" t="s">
        <v>493</v>
      </c>
      <c r="J33" s="9" t="s">
        <v>660</v>
      </c>
      <c r="K33" s="9" t="n">
        <v>2</v>
      </c>
      <c r="L33" s="9" t="n">
        <f aca="false">COUNTIF(Documents!$C$5:$C$83,A33)</f>
        <v>2</v>
      </c>
      <c r="M33" s="5" t="s">
        <v>502</v>
      </c>
    </row>
    <row r="34" customFormat="false" ht="15" hidden="false" customHeight="false" outlineLevel="0" collapsed="false">
      <c r="A34" s="9" t="s">
        <v>661</v>
      </c>
      <c r="B34" s="9" t="s">
        <v>662</v>
      </c>
      <c r="C34" s="9" t="s">
        <v>653</v>
      </c>
      <c r="D34" s="9" t="s">
        <v>519</v>
      </c>
      <c r="E34" s="9" t="s">
        <v>663</v>
      </c>
      <c r="F34" s="9" t="s">
        <v>441</v>
      </c>
      <c r="G34" s="9" t="str">
        <f aca="false">INDEX(Suppliers!$B$5:$B$12,MATCH(F34,Suppliers!$A$5:$A$12,0))</f>
        <v>Desert Palm Foodstuff Trading LLC (fictional)</v>
      </c>
      <c r="H34" s="9" t="s">
        <v>445</v>
      </c>
      <c r="I34" s="9" t="s">
        <v>493</v>
      </c>
      <c r="J34" s="9" t="s">
        <v>664</v>
      </c>
      <c r="K34" s="9" t="n">
        <v>3</v>
      </c>
      <c r="L34" s="9" t="n">
        <f aca="false">COUNTIF(Documents!$C$5:$C$83,A34)</f>
        <v>3</v>
      </c>
      <c r="M34" s="5" t="s">
        <v>502</v>
      </c>
    </row>
  </sheetData>
  <mergeCells count="1">
    <mergeCell ref="A1:M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M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4" min="4" style="0" width="30"/>
    <col collapsed="false" customWidth="true" hidden="false" outlineLevel="0" max="5" min="5" style="0" width="7"/>
    <col collapsed="false" customWidth="true" hidden="false" outlineLevel="0" max="6" min="6" style="0" width="12"/>
    <col collapsed="false" customWidth="true" hidden="false" outlineLevel="0" max="7" min="7" style="0" width="20"/>
    <col collapsed="false" customWidth="true" hidden="false" outlineLevel="0" max="8" min="8" style="0" width="10"/>
    <col collapsed="false" customWidth="true" hidden="false" outlineLevel="0" max="9" min="9" style="0" width="30"/>
    <col collapsed="false" customWidth="true" hidden="false" outlineLevel="0" max="10" min="10" style="0" width="20"/>
    <col collapsed="false" customWidth="true" hidden="false" outlineLevel="0" max="11" min="11" style="0" width="11"/>
    <col collapsed="false" customWidth="true" hidden="false" outlineLevel="0" max="12" min="12" style="0" width="14"/>
    <col collapsed="false" customWidth="true" hidden="false" outlineLevel="0" max="13" min="13" style="0" width="12"/>
  </cols>
  <sheetData>
    <row r="1" customFormat="false" ht="15" hidden="false" customHeight="false" outlineLevel="0" collapsed="false">
      <c r="A1" s="1" t="s">
        <v>0</v>
      </c>
      <c r="B1" s="1"/>
      <c r="C1" s="1"/>
      <c r="D1" s="1"/>
      <c r="E1" s="1"/>
      <c r="F1" s="1"/>
      <c r="G1" s="1"/>
      <c r="H1" s="1"/>
      <c r="I1" s="1"/>
      <c r="J1" s="1"/>
      <c r="K1" s="1"/>
      <c r="L1" s="1"/>
      <c r="M1" s="1"/>
    </row>
    <row r="2" customFormat="false" ht="17.35" hidden="false" customHeight="false" outlineLevel="0" collapsed="false">
      <c r="A2" s="2" t="s">
        <v>665</v>
      </c>
    </row>
    <row r="3" customFormat="false" ht="15" hidden="false" customHeight="false" outlineLevel="0" collapsed="false">
      <c r="A3" s="3" t="s">
        <v>14</v>
      </c>
    </row>
    <row r="4" customFormat="false" ht="31.5" hidden="false" customHeight="true" outlineLevel="0" collapsed="false">
      <c r="A4" s="19" t="s">
        <v>666</v>
      </c>
      <c r="B4" s="19" t="s">
        <v>478</v>
      </c>
      <c r="C4" s="19" t="s">
        <v>477</v>
      </c>
      <c r="D4" s="19" t="s">
        <v>667</v>
      </c>
      <c r="E4" s="19" t="s">
        <v>668</v>
      </c>
      <c r="F4" s="19" t="s">
        <v>669</v>
      </c>
      <c r="G4" s="20" t="s">
        <v>670</v>
      </c>
      <c r="H4" s="20" t="s">
        <v>671</v>
      </c>
      <c r="I4" s="20" t="s">
        <v>672</v>
      </c>
      <c r="J4" s="21" t="s">
        <v>673</v>
      </c>
      <c r="K4" s="21" t="s">
        <v>674</v>
      </c>
      <c r="L4" s="21" t="s">
        <v>675</v>
      </c>
      <c r="M4" s="22" t="s">
        <v>676</v>
      </c>
    </row>
    <row r="5" customFormat="false" ht="15" hidden="false" customHeight="false" outlineLevel="0" collapsed="false">
      <c r="A5" s="9" t="s">
        <v>677</v>
      </c>
      <c r="B5" s="9" t="s">
        <v>489</v>
      </c>
      <c r="C5" s="9" t="s">
        <v>488</v>
      </c>
      <c r="D5" s="9" t="s">
        <v>678</v>
      </c>
      <c r="E5" s="9" t="n">
        <v>2</v>
      </c>
      <c r="F5" s="23" t="n">
        <v>945</v>
      </c>
      <c r="G5" s="9" t="s">
        <v>679</v>
      </c>
      <c r="H5" s="9" t="s">
        <v>680</v>
      </c>
      <c r="I5" s="9" t="s">
        <v>681</v>
      </c>
      <c r="J5" s="9" t="s">
        <v>679</v>
      </c>
      <c r="K5" s="24" t="n">
        <v>0.94</v>
      </c>
      <c r="L5" s="9" t="str">
        <f aca="false">IF(K5&lt;Decision_Rules!$C$5,"Human confirm","Auto")</f>
        <v>Auto</v>
      </c>
      <c r="M5" s="9" t="n">
        <f aca="false">IF(G5=J5,1,0)</f>
        <v>1</v>
      </c>
    </row>
    <row r="6" customFormat="false" ht="15" hidden="false" customHeight="false" outlineLevel="0" collapsed="false">
      <c r="A6" s="9" t="s">
        <v>682</v>
      </c>
      <c r="B6" s="9" t="s">
        <v>489</v>
      </c>
      <c r="C6" s="9" t="s">
        <v>488</v>
      </c>
      <c r="D6" s="9" t="s">
        <v>683</v>
      </c>
      <c r="E6" s="9" t="n">
        <v>1</v>
      </c>
      <c r="F6" s="23" t="n">
        <v>945</v>
      </c>
      <c r="G6" s="9" t="s">
        <v>684</v>
      </c>
      <c r="H6" s="9" t="s">
        <v>680</v>
      </c>
      <c r="I6" s="9" t="s">
        <v>681</v>
      </c>
      <c r="J6" s="9" t="s">
        <v>684</v>
      </c>
      <c r="K6" s="24" t="n">
        <v>0.96</v>
      </c>
      <c r="L6" s="9" t="str">
        <f aca="false">IF(K6&lt;Decision_Rules!$C$5,"Human confirm","Auto")</f>
        <v>Auto</v>
      </c>
      <c r="M6" s="9" t="n">
        <f aca="false">IF(G6=J6,1,0)</f>
        <v>1</v>
      </c>
    </row>
    <row r="7" customFormat="false" ht="15" hidden="false" customHeight="false" outlineLevel="0" collapsed="false">
      <c r="A7" s="9" t="s">
        <v>685</v>
      </c>
      <c r="B7" s="9" t="s">
        <v>489</v>
      </c>
      <c r="C7" s="9" t="s">
        <v>488</v>
      </c>
      <c r="D7" s="9" t="s">
        <v>686</v>
      </c>
      <c r="E7" s="9" t="n">
        <v>1</v>
      </c>
      <c r="F7" s="23"/>
      <c r="G7" s="9" t="s">
        <v>687</v>
      </c>
      <c r="H7" s="9" t="s">
        <v>680</v>
      </c>
      <c r="I7" s="9" t="s">
        <v>681</v>
      </c>
      <c r="J7" s="9" t="s">
        <v>687</v>
      </c>
      <c r="K7" s="24" t="n">
        <v>0.99</v>
      </c>
      <c r="L7" s="9" t="str">
        <f aca="false">IF(K7&lt;Decision_Rules!$C$5,"Human confirm","Auto")</f>
        <v>Auto</v>
      </c>
      <c r="M7" s="9" t="n">
        <f aca="false">IF(G7=J7,1,0)</f>
        <v>1</v>
      </c>
    </row>
    <row r="8" customFormat="false" ht="15" hidden="false" customHeight="false" outlineLevel="0" collapsed="false">
      <c r="A8" s="9" t="s">
        <v>688</v>
      </c>
      <c r="B8" s="9" t="s">
        <v>497</v>
      </c>
      <c r="C8" s="9" t="s">
        <v>496</v>
      </c>
      <c r="D8" s="9" t="s">
        <v>689</v>
      </c>
      <c r="E8" s="9" t="n">
        <v>1</v>
      </c>
      <c r="F8" s="23" t="n">
        <v>2548</v>
      </c>
      <c r="G8" s="9" t="s">
        <v>679</v>
      </c>
      <c r="H8" s="9" t="s">
        <v>680</v>
      </c>
      <c r="I8" s="9" t="s">
        <v>681</v>
      </c>
      <c r="J8" s="9" t="s">
        <v>679</v>
      </c>
      <c r="K8" s="24" t="n">
        <v>0.99</v>
      </c>
      <c r="L8" s="9" t="str">
        <f aca="false">IF(K8&lt;Decision_Rules!$C$5,"Human confirm","Auto")</f>
        <v>Auto</v>
      </c>
      <c r="M8" s="9" t="n">
        <f aca="false">IF(G8=J8,1,0)</f>
        <v>1</v>
      </c>
    </row>
    <row r="9" customFormat="false" ht="15" hidden="false" customHeight="false" outlineLevel="0" collapsed="false">
      <c r="A9" s="9" t="s">
        <v>690</v>
      </c>
      <c r="B9" s="9" t="s">
        <v>497</v>
      </c>
      <c r="C9" s="9" t="s">
        <v>496</v>
      </c>
      <c r="D9" s="9" t="s">
        <v>691</v>
      </c>
      <c r="E9" s="9" t="n">
        <v>1</v>
      </c>
      <c r="F9" s="23" t="n">
        <v>2548</v>
      </c>
      <c r="G9" s="9" t="s">
        <v>684</v>
      </c>
      <c r="H9" s="9" t="s">
        <v>680</v>
      </c>
      <c r="I9" s="9" t="s">
        <v>681</v>
      </c>
      <c r="J9" s="9" t="s">
        <v>684</v>
      </c>
      <c r="K9" s="24" t="n">
        <v>0.95</v>
      </c>
      <c r="L9" s="9" t="str">
        <f aca="false">IF(K9&lt;Decision_Rules!$C$5,"Human confirm","Auto")</f>
        <v>Auto</v>
      </c>
      <c r="M9" s="9" t="n">
        <f aca="false">IF(G9=J9,1,0)</f>
        <v>1</v>
      </c>
    </row>
    <row r="10" customFormat="false" ht="15" hidden="false" customHeight="false" outlineLevel="0" collapsed="false">
      <c r="A10" s="9" t="s">
        <v>692</v>
      </c>
      <c r="B10" s="9" t="s">
        <v>504</v>
      </c>
      <c r="C10" s="9" t="s">
        <v>503</v>
      </c>
      <c r="D10" s="9" t="s">
        <v>693</v>
      </c>
      <c r="E10" s="9" t="n">
        <v>2</v>
      </c>
      <c r="F10" s="23" t="n">
        <v>175</v>
      </c>
      <c r="G10" s="9" t="s">
        <v>679</v>
      </c>
      <c r="H10" s="9" t="s">
        <v>680</v>
      </c>
      <c r="I10" s="9" t="s">
        <v>681</v>
      </c>
      <c r="J10" s="9" t="s">
        <v>679</v>
      </c>
      <c r="K10" s="24" t="n">
        <v>0.98</v>
      </c>
      <c r="L10" s="9" t="str">
        <f aca="false">IF(K10&lt;Decision_Rules!$C$5,"Human confirm","Auto")</f>
        <v>Auto</v>
      </c>
      <c r="M10" s="9" t="n">
        <f aca="false">IF(G10=J10,1,0)</f>
        <v>1</v>
      </c>
    </row>
    <row r="11" customFormat="false" ht="15" hidden="false" customHeight="false" outlineLevel="0" collapsed="false">
      <c r="A11" s="9" t="s">
        <v>694</v>
      </c>
      <c r="B11" s="9" t="s">
        <v>504</v>
      </c>
      <c r="C11" s="9" t="s">
        <v>503</v>
      </c>
      <c r="D11" s="9" t="s">
        <v>695</v>
      </c>
      <c r="E11" s="9" t="n">
        <v>1</v>
      </c>
      <c r="F11" s="23" t="n">
        <v>175</v>
      </c>
      <c r="G11" s="9" t="s">
        <v>684</v>
      </c>
      <c r="H11" s="9" t="s">
        <v>680</v>
      </c>
      <c r="I11" s="9" t="s">
        <v>681</v>
      </c>
      <c r="J11" s="9" t="s">
        <v>684</v>
      </c>
      <c r="K11" s="24" t="n">
        <v>0.97</v>
      </c>
      <c r="L11" s="9" t="str">
        <f aca="false">IF(K11&lt;Decision_Rules!$C$5,"Human confirm","Auto")</f>
        <v>Auto</v>
      </c>
      <c r="M11" s="9" t="n">
        <f aca="false">IF(G11=J11,1,0)</f>
        <v>1</v>
      </c>
    </row>
    <row r="12" customFormat="false" ht="15" hidden="false" customHeight="false" outlineLevel="0" collapsed="false">
      <c r="A12" s="9" t="s">
        <v>696</v>
      </c>
      <c r="B12" s="9" t="s">
        <v>511</v>
      </c>
      <c r="C12" s="9" t="s">
        <v>510</v>
      </c>
      <c r="D12" s="9" t="s">
        <v>697</v>
      </c>
      <c r="E12" s="9" t="n">
        <v>2</v>
      </c>
      <c r="F12" s="23" t="n">
        <v>196.8</v>
      </c>
      <c r="G12" s="9" t="s">
        <v>679</v>
      </c>
      <c r="H12" s="9" t="s">
        <v>680</v>
      </c>
      <c r="I12" s="9" t="s">
        <v>681</v>
      </c>
      <c r="J12" s="9" t="s">
        <v>679</v>
      </c>
      <c r="K12" s="24" t="n">
        <v>0.94</v>
      </c>
      <c r="L12" s="9" t="str">
        <f aca="false">IF(K12&lt;Decision_Rules!$C$5,"Human confirm","Auto")</f>
        <v>Auto</v>
      </c>
      <c r="M12" s="9" t="n">
        <f aca="false">IF(G12=J12,1,0)</f>
        <v>1</v>
      </c>
    </row>
    <row r="13" customFormat="false" ht="15" hidden="false" customHeight="false" outlineLevel="0" collapsed="false">
      <c r="A13" s="9" t="s">
        <v>698</v>
      </c>
      <c r="B13" s="9" t="s">
        <v>511</v>
      </c>
      <c r="C13" s="9" t="s">
        <v>510</v>
      </c>
      <c r="D13" s="9" t="s">
        <v>699</v>
      </c>
      <c r="E13" s="9" t="n">
        <v>1</v>
      </c>
      <c r="F13" s="23" t="n">
        <v>196.8</v>
      </c>
      <c r="G13" s="9" t="s">
        <v>684</v>
      </c>
      <c r="H13" s="9" t="s">
        <v>680</v>
      </c>
      <c r="I13" s="9" t="s">
        <v>681</v>
      </c>
      <c r="J13" s="9" t="s">
        <v>684</v>
      </c>
      <c r="K13" s="24" t="n">
        <v>0.95</v>
      </c>
      <c r="L13" s="9" t="str">
        <f aca="false">IF(K13&lt;Decision_Rules!$C$5,"Human confirm","Auto")</f>
        <v>Auto</v>
      </c>
      <c r="M13" s="9" t="n">
        <f aca="false">IF(G13=J13,1,0)</f>
        <v>1</v>
      </c>
    </row>
    <row r="14" customFormat="false" ht="15" hidden="false" customHeight="false" outlineLevel="0" collapsed="false">
      <c r="A14" s="9" t="s">
        <v>700</v>
      </c>
      <c r="B14" s="9" t="s">
        <v>511</v>
      </c>
      <c r="C14" s="9" t="s">
        <v>510</v>
      </c>
      <c r="D14" s="9" t="s">
        <v>701</v>
      </c>
      <c r="E14" s="9" t="n">
        <v>1</v>
      </c>
      <c r="F14" s="23"/>
      <c r="G14" s="9" t="s">
        <v>687</v>
      </c>
      <c r="H14" s="9" t="s">
        <v>680</v>
      </c>
      <c r="I14" s="9" t="s">
        <v>681</v>
      </c>
      <c r="J14" s="9" t="s">
        <v>687</v>
      </c>
      <c r="K14" s="24" t="n">
        <v>0.96</v>
      </c>
      <c r="L14" s="9" t="str">
        <f aca="false">IF(K14&lt;Decision_Rules!$C$5,"Human confirm","Auto")</f>
        <v>Auto</v>
      </c>
      <c r="M14" s="9" t="n">
        <f aca="false">IF(G14=J14,1,0)</f>
        <v>1</v>
      </c>
    </row>
    <row r="15" customFormat="false" ht="15" hidden="false" customHeight="false" outlineLevel="0" collapsed="false">
      <c r="A15" s="9" t="s">
        <v>702</v>
      </c>
      <c r="B15" s="9" t="s">
        <v>517</v>
      </c>
      <c r="C15" s="9" t="s">
        <v>516</v>
      </c>
      <c r="D15" s="9" t="s">
        <v>703</v>
      </c>
      <c r="E15" s="9" t="n">
        <v>2</v>
      </c>
      <c r="F15" s="23" t="n">
        <v>3895</v>
      </c>
      <c r="G15" s="9" t="s">
        <v>679</v>
      </c>
      <c r="H15" s="9" t="s">
        <v>680</v>
      </c>
      <c r="I15" s="9" t="s">
        <v>681</v>
      </c>
      <c r="J15" s="9" t="s">
        <v>679</v>
      </c>
      <c r="K15" s="24" t="n">
        <v>0.98</v>
      </c>
      <c r="L15" s="9" t="str">
        <f aca="false">IF(K15&lt;Decision_Rules!$C$5,"Human confirm","Auto")</f>
        <v>Auto</v>
      </c>
      <c r="M15" s="9" t="n">
        <f aca="false">IF(G15=J15,1,0)</f>
        <v>1</v>
      </c>
    </row>
    <row r="16" customFormat="false" ht="15" hidden="false" customHeight="false" outlineLevel="0" collapsed="false">
      <c r="A16" s="9" t="s">
        <v>704</v>
      </c>
      <c r="B16" s="9" t="s">
        <v>517</v>
      </c>
      <c r="C16" s="9" t="s">
        <v>516</v>
      </c>
      <c r="D16" s="9" t="s">
        <v>705</v>
      </c>
      <c r="E16" s="9" t="n">
        <v>1</v>
      </c>
      <c r="F16" s="23" t="n">
        <v>3895</v>
      </c>
      <c r="G16" s="9" t="s">
        <v>684</v>
      </c>
      <c r="H16" s="9" t="s">
        <v>680</v>
      </c>
      <c r="I16" s="9" t="s">
        <v>681</v>
      </c>
      <c r="J16" s="9" t="s">
        <v>684</v>
      </c>
      <c r="K16" s="24" t="n">
        <v>0.97</v>
      </c>
      <c r="L16" s="9" t="str">
        <f aca="false">IF(K16&lt;Decision_Rules!$C$5,"Human confirm","Auto")</f>
        <v>Auto</v>
      </c>
      <c r="M16" s="9" t="n">
        <f aca="false">IF(G16=J16,1,0)</f>
        <v>1</v>
      </c>
    </row>
    <row r="17" customFormat="false" ht="15" hidden="false" customHeight="false" outlineLevel="0" collapsed="false">
      <c r="A17" s="9" t="s">
        <v>706</v>
      </c>
      <c r="B17" s="9" t="s">
        <v>517</v>
      </c>
      <c r="C17" s="9" t="s">
        <v>516</v>
      </c>
      <c r="D17" s="9" t="s">
        <v>707</v>
      </c>
      <c r="E17" s="9" t="n">
        <v>2</v>
      </c>
      <c r="F17" s="23"/>
      <c r="G17" s="9" t="s">
        <v>708</v>
      </c>
      <c r="H17" s="9" t="s">
        <v>680</v>
      </c>
      <c r="I17" s="9" t="s">
        <v>681</v>
      </c>
      <c r="J17" s="9" t="s">
        <v>708</v>
      </c>
      <c r="K17" s="24" t="n">
        <v>0.97</v>
      </c>
      <c r="L17" s="9" t="str">
        <f aca="false">IF(K17&lt;Decision_Rules!$C$5,"Human confirm","Auto")</f>
        <v>Auto</v>
      </c>
      <c r="M17" s="9" t="n">
        <f aca="false">IF(G17=J17,1,0)</f>
        <v>1</v>
      </c>
    </row>
    <row r="18" customFormat="false" ht="15" hidden="false" customHeight="false" outlineLevel="0" collapsed="false">
      <c r="A18" s="9" t="s">
        <v>709</v>
      </c>
      <c r="B18" s="9" t="s">
        <v>517</v>
      </c>
      <c r="C18" s="9" t="s">
        <v>516</v>
      </c>
      <c r="D18" s="9" t="s">
        <v>710</v>
      </c>
      <c r="E18" s="9" t="n">
        <v>4</v>
      </c>
      <c r="F18" s="23"/>
      <c r="G18" s="9" t="s">
        <v>711</v>
      </c>
      <c r="H18" s="9" t="s">
        <v>712</v>
      </c>
      <c r="I18" s="9" t="s">
        <v>713</v>
      </c>
      <c r="J18" s="9" t="s">
        <v>711</v>
      </c>
      <c r="K18" s="24" t="n">
        <v>0.93</v>
      </c>
      <c r="L18" s="9" t="str">
        <f aca="false">IF(K18&lt;Decision_Rules!$C$5,"Human confirm","Auto")</f>
        <v>Auto</v>
      </c>
      <c r="M18" s="9" t="n">
        <f aca="false">IF(G18=J18,1,0)</f>
        <v>1</v>
      </c>
    </row>
    <row r="19" customFormat="false" ht="15" hidden="false" customHeight="false" outlineLevel="0" collapsed="false">
      <c r="A19" s="9" t="s">
        <v>714</v>
      </c>
      <c r="B19" s="9" t="s">
        <v>523</v>
      </c>
      <c r="C19" s="9" t="s">
        <v>522</v>
      </c>
      <c r="D19" s="9" t="s">
        <v>715</v>
      </c>
      <c r="E19" s="9" t="n">
        <v>1</v>
      </c>
      <c r="F19" s="23" t="n">
        <v>900</v>
      </c>
      <c r="G19" s="9" t="s">
        <v>679</v>
      </c>
      <c r="H19" s="9" t="s">
        <v>680</v>
      </c>
      <c r="I19" s="9" t="s">
        <v>681</v>
      </c>
      <c r="J19" s="9" t="s">
        <v>679</v>
      </c>
      <c r="K19" s="24" t="n">
        <v>0.98</v>
      </c>
      <c r="L19" s="9" t="str">
        <f aca="false">IF(K19&lt;Decision_Rules!$C$5,"Human confirm","Auto")</f>
        <v>Auto</v>
      </c>
      <c r="M19" s="9" t="n">
        <f aca="false">IF(G19=J19,1,0)</f>
        <v>1</v>
      </c>
    </row>
    <row r="20" customFormat="false" ht="15" hidden="false" customHeight="false" outlineLevel="0" collapsed="false">
      <c r="A20" s="9" t="s">
        <v>716</v>
      </c>
      <c r="B20" s="9" t="s">
        <v>523</v>
      </c>
      <c r="C20" s="9" t="s">
        <v>522</v>
      </c>
      <c r="D20" s="9" t="s">
        <v>717</v>
      </c>
      <c r="E20" s="9" t="n">
        <v>1</v>
      </c>
      <c r="F20" s="23" t="n">
        <v>900</v>
      </c>
      <c r="G20" s="9" t="s">
        <v>684</v>
      </c>
      <c r="H20" s="9" t="s">
        <v>680</v>
      </c>
      <c r="I20" s="9" t="s">
        <v>681</v>
      </c>
      <c r="J20" s="9" t="s">
        <v>684</v>
      </c>
      <c r="K20" s="24" t="n">
        <v>0.95</v>
      </c>
      <c r="L20" s="9" t="str">
        <f aca="false">IF(K20&lt;Decision_Rules!$C$5,"Human confirm","Auto")</f>
        <v>Auto</v>
      </c>
      <c r="M20" s="9" t="n">
        <f aca="false">IF(G20=J20,1,0)</f>
        <v>1</v>
      </c>
    </row>
    <row r="21" customFormat="false" ht="15" hidden="false" customHeight="false" outlineLevel="0" collapsed="false">
      <c r="A21" s="9" t="s">
        <v>718</v>
      </c>
      <c r="B21" s="9" t="s">
        <v>528</v>
      </c>
      <c r="C21" s="9" t="s">
        <v>527</v>
      </c>
      <c r="D21" s="9" t="s">
        <v>719</v>
      </c>
      <c r="E21" s="9" t="n">
        <v>2</v>
      </c>
      <c r="F21" s="23" t="n">
        <v>474</v>
      </c>
      <c r="G21" s="9" t="s">
        <v>679</v>
      </c>
      <c r="H21" s="9" t="s">
        <v>680</v>
      </c>
      <c r="I21" s="9" t="s">
        <v>681</v>
      </c>
      <c r="J21" s="9" t="s">
        <v>679</v>
      </c>
      <c r="K21" s="24" t="n">
        <v>0.96</v>
      </c>
      <c r="L21" s="9" t="str">
        <f aca="false">IF(K21&lt;Decision_Rules!$C$5,"Human confirm","Auto")</f>
        <v>Auto</v>
      </c>
      <c r="M21" s="9" t="n">
        <f aca="false">IF(G21=J21,1,0)</f>
        <v>1</v>
      </c>
    </row>
    <row r="22" customFormat="false" ht="15" hidden="false" customHeight="false" outlineLevel="0" collapsed="false">
      <c r="A22" s="9" t="s">
        <v>720</v>
      </c>
      <c r="B22" s="9" t="s">
        <v>528</v>
      </c>
      <c r="C22" s="9" t="s">
        <v>527</v>
      </c>
      <c r="D22" s="9" t="s">
        <v>721</v>
      </c>
      <c r="E22" s="9" t="n">
        <v>1</v>
      </c>
      <c r="F22" s="23" t="n">
        <v>474</v>
      </c>
      <c r="G22" s="9" t="s">
        <v>684</v>
      </c>
      <c r="H22" s="9" t="s">
        <v>680</v>
      </c>
      <c r="I22" s="9" t="s">
        <v>681</v>
      </c>
      <c r="J22" s="9" t="s">
        <v>684</v>
      </c>
      <c r="K22" s="24" t="n">
        <v>0.95</v>
      </c>
      <c r="L22" s="9" t="str">
        <f aca="false">IF(K22&lt;Decision_Rules!$C$5,"Human confirm","Auto")</f>
        <v>Auto</v>
      </c>
      <c r="M22" s="9" t="n">
        <f aca="false">IF(G22=J22,1,0)</f>
        <v>1</v>
      </c>
    </row>
    <row r="23" customFormat="false" ht="15" hidden="false" customHeight="false" outlineLevel="0" collapsed="false">
      <c r="A23" s="9" t="s">
        <v>722</v>
      </c>
      <c r="B23" s="9" t="s">
        <v>528</v>
      </c>
      <c r="C23" s="9" t="s">
        <v>527</v>
      </c>
      <c r="D23" s="9" t="s">
        <v>723</v>
      </c>
      <c r="E23" s="9" t="n">
        <v>1</v>
      </c>
      <c r="F23" s="23"/>
      <c r="G23" s="9" t="s">
        <v>687</v>
      </c>
      <c r="H23" s="9" t="s">
        <v>680</v>
      </c>
      <c r="I23" s="9" t="s">
        <v>681</v>
      </c>
      <c r="J23" s="9" t="s">
        <v>687</v>
      </c>
      <c r="K23" s="24" t="n">
        <v>0.99</v>
      </c>
      <c r="L23" s="9" t="str">
        <f aca="false">IF(K23&lt;Decision_Rules!$C$5,"Human confirm","Auto")</f>
        <v>Auto</v>
      </c>
      <c r="M23" s="9" t="n">
        <f aca="false">IF(G23=J23,1,0)</f>
        <v>1</v>
      </c>
    </row>
    <row r="24" customFormat="false" ht="15" hidden="false" customHeight="false" outlineLevel="0" collapsed="false">
      <c r="A24" s="9" t="s">
        <v>724</v>
      </c>
      <c r="B24" s="9" t="s">
        <v>535</v>
      </c>
      <c r="C24" s="9" t="s">
        <v>534</v>
      </c>
      <c r="D24" s="9" t="s">
        <v>725</v>
      </c>
      <c r="E24" s="9" t="n">
        <v>1</v>
      </c>
      <c r="F24" s="23" t="n">
        <v>293</v>
      </c>
      <c r="G24" s="9" t="s">
        <v>679</v>
      </c>
      <c r="H24" s="9" t="s">
        <v>680</v>
      </c>
      <c r="I24" s="9" t="s">
        <v>681</v>
      </c>
      <c r="J24" s="9" t="s">
        <v>679</v>
      </c>
      <c r="K24" s="24" t="n">
        <v>0.94</v>
      </c>
      <c r="L24" s="9" t="str">
        <f aca="false">IF(K24&lt;Decision_Rules!$C$5,"Human confirm","Auto")</f>
        <v>Auto</v>
      </c>
      <c r="M24" s="9" t="n">
        <f aca="false">IF(G24=J24,1,0)</f>
        <v>1</v>
      </c>
    </row>
    <row r="25" customFormat="false" ht="15" hidden="false" customHeight="false" outlineLevel="0" collapsed="false">
      <c r="A25" s="9" t="s">
        <v>726</v>
      </c>
      <c r="B25" s="9" t="s">
        <v>535</v>
      </c>
      <c r="C25" s="9" t="s">
        <v>534</v>
      </c>
      <c r="D25" s="9" t="s">
        <v>727</v>
      </c>
      <c r="E25" s="9" t="n">
        <v>1</v>
      </c>
      <c r="F25" s="23" t="n">
        <v>293</v>
      </c>
      <c r="G25" s="9" t="s">
        <v>684</v>
      </c>
      <c r="H25" s="9" t="s">
        <v>680</v>
      </c>
      <c r="I25" s="9" t="s">
        <v>681</v>
      </c>
      <c r="J25" s="9" t="s">
        <v>684</v>
      </c>
      <c r="K25" s="24" t="n">
        <v>0.99</v>
      </c>
      <c r="L25" s="9" t="str">
        <f aca="false">IF(K25&lt;Decision_Rules!$C$5,"Human confirm","Auto")</f>
        <v>Auto</v>
      </c>
      <c r="M25" s="9" t="n">
        <f aca="false">IF(G25=J25,1,0)</f>
        <v>1</v>
      </c>
    </row>
    <row r="26" customFormat="false" ht="15" hidden="false" customHeight="false" outlineLevel="0" collapsed="false">
      <c r="A26" s="9" t="s">
        <v>728</v>
      </c>
      <c r="B26" s="9" t="s">
        <v>535</v>
      </c>
      <c r="C26" s="9" t="s">
        <v>534</v>
      </c>
      <c r="D26" s="9" t="s">
        <v>729</v>
      </c>
      <c r="E26" s="9" t="n">
        <v>1</v>
      </c>
      <c r="F26" s="23"/>
      <c r="G26" s="9" t="s">
        <v>687</v>
      </c>
      <c r="H26" s="9" t="s">
        <v>680</v>
      </c>
      <c r="I26" s="9" t="s">
        <v>681</v>
      </c>
      <c r="J26" s="9" t="s">
        <v>687</v>
      </c>
      <c r="K26" s="24" t="n">
        <v>0.98</v>
      </c>
      <c r="L26" s="9" t="str">
        <f aca="false">IF(K26&lt;Decision_Rules!$C$5,"Human confirm","Auto")</f>
        <v>Auto</v>
      </c>
      <c r="M26" s="9" t="n">
        <f aca="false">IF(G26=J26,1,0)</f>
        <v>1</v>
      </c>
    </row>
    <row r="27" customFormat="false" ht="15" hidden="false" customHeight="false" outlineLevel="0" collapsed="false">
      <c r="A27" s="9" t="s">
        <v>730</v>
      </c>
      <c r="B27" s="9" t="s">
        <v>541</v>
      </c>
      <c r="C27" s="9" t="s">
        <v>540</v>
      </c>
      <c r="D27" s="9" t="s">
        <v>731</v>
      </c>
      <c r="E27" s="9" t="n">
        <v>1</v>
      </c>
      <c r="F27" s="23" t="n">
        <v>118</v>
      </c>
      <c r="G27" s="9" t="s">
        <v>679</v>
      </c>
      <c r="H27" s="9" t="s">
        <v>680</v>
      </c>
      <c r="I27" s="9" t="s">
        <v>681</v>
      </c>
      <c r="J27" s="9" t="s">
        <v>679</v>
      </c>
      <c r="K27" s="24" t="n">
        <v>0.95</v>
      </c>
      <c r="L27" s="9" t="str">
        <f aca="false">IF(K27&lt;Decision_Rules!$C$5,"Human confirm","Auto")</f>
        <v>Auto</v>
      </c>
      <c r="M27" s="9" t="n">
        <f aca="false">IF(G27=J27,1,0)</f>
        <v>1</v>
      </c>
    </row>
    <row r="28" customFormat="false" ht="15" hidden="false" customHeight="false" outlineLevel="0" collapsed="false">
      <c r="A28" s="9" t="s">
        <v>732</v>
      </c>
      <c r="B28" s="9" t="s">
        <v>541</v>
      </c>
      <c r="C28" s="9" t="s">
        <v>540</v>
      </c>
      <c r="D28" s="9" t="s">
        <v>733</v>
      </c>
      <c r="E28" s="9" t="n">
        <v>1</v>
      </c>
      <c r="F28" s="23" t="n">
        <v>118</v>
      </c>
      <c r="G28" s="9" t="s">
        <v>684</v>
      </c>
      <c r="H28" s="9" t="s">
        <v>680</v>
      </c>
      <c r="I28" s="9" t="s">
        <v>681</v>
      </c>
      <c r="J28" s="9" t="s">
        <v>684</v>
      </c>
      <c r="K28" s="24" t="n">
        <v>0.98</v>
      </c>
      <c r="L28" s="9" t="str">
        <f aca="false">IF(K28&lt;Decision_Rules!$C$5,"Human confirm","Auto")</f>
        <v>Auto</v>
      </c>
      <c r="M28" s="9" t="n">
        <f aca="false">IF(G28=J28,1,0)</f>
        <v>1</v>
      </c>
    </row>
    <row r="29" customFormat="false" ht="15" hidden="false" customHeight="false" outlineLevel="0" collapsed="false">
      <c r="A29" s="9" t="s">
        <v>734</v>
      </c>
      <c r="B29" s="9" t="s">
        <v>547</v>
      </c>
      <c r="C29" s="9" t="s">
        <v>546</v>
      </c>
      <c r="D29" s="9" t="s">
        <v>735</v>
      </c>
      <c r="E29" s="9" t="n">
        <v>2</v>
      </c>
      <c r="F29" s="23" t="n">
        <v>782.5</v>
      </c>
      <c r="G29" s="9" t="s">
        <v>679</v>
      </c>
      <c r="H29" s="9" t="s">
        <v>680</v>
      </c>
      <c r="I29" s="9" t="s">
        <v>681</v>
      </c>
      <c r="J29" s="9" t="s">
        <v>679</v>
      </c>
      <c r="K29" s="24" t="n">
        <v>0.97</v>
      </c>
      <c r="L29" s="9" t="str">
        <f aca="false">IF(K29&lt;Decision_Rules!$C$5,"Human confirm","Auto")</f>
        <v>Auto</v>
      </c>
      <c r="M29" s="9" t="n">
        <f aca="false">IF(G29=J29,1,0)</f>
        <v>1</v>
      </c>
    </row>
    <row r="30" customFormat="false" ht="15" hidden="false" customHeight="false" outlineLevel="0" collapsed="false">
      <c r="A30" s="9" t="s">
        <v>736</v>
      </c>
      <c r="B30" s="9" t="s">
        <v>547</v>
      </c>
      <c r="C30" s="9" t="s">
        <v>546</v>
      </c>
      <c r="D30" s="9" t="s">
        <v>737</v>
      </c>
      <c r="E30" s="9" t="n">
        <v>1</v>
      </c>
      <c r="F30" s="23" t="n">
        <v>782.5</v>
      </c>
      <c r="G30" s="9" t="s">
        <v>684</v>
      </c>
      <c r="H30" s="9" t="s">
        <v>680</v>
      </c>
      <c r="I30" s="9" t="s">
        <v>681</v>
      </c>
      <c r="J30" s="9" t="s">
        <v>684</v>
      </c>
      <c r="K30" s="24" t="n">
        <v>0.96</v>
      </c>
      <c r="L30" s="9" t="str">
        <f aca="false">IF(K30&lt;Decision_Rules!$C$5,"Human confirm","Auto")</f>
        <v>Auto</v>
      </c>
      <c r="M30" s="9" t="n">
        <f aca="false">IF(G30=J30,1,0)</f>
        <v>1</v>
      </c>
    </row>
    <row r="31" customFormat="false" ht="15" hidden="false" customHeight="false" outlineLevel="0" collapsed="false">
      <c r="A31" s="9" t="s">
        <v>738</v>
      </c>
      <c r="B31" s="9" t="s">
        <v>547</v>
      </c>
      <c r="C31" s="9" t="s">
        <v>546</v>
      </c>
      <c r="D31" s="9" t="s">
        <v>739</v>
      </c>
      <c r="E31" s="9" t="n">
        <v>2</v>
      </c>
      <c r="F31" s="23"/>
      <c r="G31" s="9" t="s">
        <v>708</v>
      </c>
      <c r="H31" s="9" t="s">
        <v>680</v>
      </c>
      <c r="I31" s="9" t="s">
        <v>681</v>
      </c>
      <c r="J31" s="9" t="s">
        <v>708</v>
      </c>
      <c r="K31" s="24" t="n">
        <v>0.97</v>
      </c>
      <c r="L31" s="9" t="str">
        <f aca="false">IF(K31&lt;Decision_Rules!$C$5,"Human confirm","Auto")</f>
        <v>Auto</v>
      </c>
      <c r="M31" s="9" t="n">
        <f aca="false">IF(G31=J31,1,0)</f>
        <v>1</v>
      </c>
    </row>
    <row r="32" customFormat="false" ht="15" hidden="false" customHeight="false" outlineLevel="0" collapsed="false">
      <c r="A32" s="9" t="s">
        <v>740</v>
      </c>
      <c r="B32" s="9" t="s">
        <v>553</v>
      </c>
      <c r="C32" s="9" t="s">
        <v>552</v>
      </c>
      <c r="D32" s="9" t="s">
        <v>741</v>
      </c>
      <c r="E32" s="9" t="n">
        <v>1</v>
      </c>
      <c r="F32" s="23" t="n">
        <v>1495</v>
      </c>
      <c r="G32" s="9" t="s">
        <v>679</v>
      </c>
      <c r="H32" s="9" t="s">
        <v>680</v>
      </c>
      <c r="I32" s="9" t="s">
        <v>681</v>
      </c>
      <c r="J32" s="9" t="s">
        <v>679</v>
      </c>
      <c r="K32" s="24" t="n">
        <v>0.99</v>
      </c>
      <c r="L32" s="9" t="str">
        <f aca="false">IF(K32&lt;Decision_Rules!$C$5,"Human confirm","Auto")</f>
        <v>Auto</v>
      </c>
      <c r="M32" s="9" t="n">
        <f aca="false">IF(G32=J32,1,0)</f>
        <v>1</v>
      </c>
    </row>
    <row r="33" customFormat="false" ht="15" hidden="false" customHeight="false" outlineLevel="0" collapsed="false">
      <c r="A33" s="9" t="s">
        <v>742</v>
      </c>
      <c r="B33" s="9" t="s">
        <v>553</v>
      </c>
      <c r="C33" s="9" t="s">
        <v>552</v>
      </c>
      <c r="D33" s="9" t="s">
        <v>743</v>
      </c>
      <c r="E33" s="9" t="n">
        <v>1</v>
      </c>
      <c r="F33" s="23" t="n">
        <v>1495</v>
      </c>
      <c r="G33" s="9" t="s">
        <v>684</v>
      </c>
      <c r="H33" s="9" t="s">
        <v>680</v>
      </c>
      <c r="I33" s="9" t="s">
        <v>681</v>
      </c>
      <c r="J33" s="9" t="s">
        <v>684</v>
      </c>
      <c r="K33" s="24" t="n">
        <v>0.94</v>
      </c>
      <c r="L33" s="9" t="str">
        <f aca="false">IF(K33&lt;Decision_Rules!$C$5,"Human confirm","Auto")</f>
        <v>Auto</v>
      </c>
      <c r="M33" s="9" t="n">
        <f aca="false">IF(G33=J33,1,0)</f>
        <v>1</v>
      </c>
    </row>
    <row r="34" customFormat="false" ht="15" hidden="false" customHeight="false" outlineLevel="0" collapsed="false">
      <c r="A34" s="9" t="s">
        <v>744</v>
      </c>
      <c r="B34" s="9" t="s">
        <v>553</v>
      </c>
      <c r="C34" s="9" t="s">
        <v>552</v>
      </c>
      <c r="D34" s="9" t="s">
        <v>745</v>
      </c>
      <c r="E34" s="9" t="n">
        <v>1</v>
      </c>
      <c r="F34" s="23"/>
      <c r="G34" s="9" t="s">
        <v>687</v>
      </c>
      <c r="H34" s="9" t="s">
        <v>680</v>
      </c>
      <c r="I34" s="9" t="s">
        <v>681</v>
      </c>
      <c r="J34" s="9" t="s">
        <v>687</v>
      </c>
      <c r="K34" s="24" t="n">
        <v>0.97</v>
      </c>
      <c r="L34" s="9" t="str">
        <f aca="false">IF(K34&lt;Decision_Rules!$C$5,"Human confirm","Auto")</f>
        <v>Auto</v>
      </c>
      <c r="M34" s="9" t="n">
        <f aca="false">IF(G34=J34,1,0)</f>
        <v>1</v>
      </c>
    </row>
    <row r="35" customFormat="false" ht="15" hidden="false" customHeight="false" outlineLevel="0" collapsed="false">
      <c r="A35" s="9" t="s">
        <v>746</v>
      </c>
      <c r="B35" s="9" t="s">
        <v>558</v>
      </c>
      <c r="C35" s="9" t="s">
        <v>557</v>
      </c>
      <c r="D35" s="9" t="s">
        <v>747</v>
      </c>
      <c r="E35" s="9" t="n">
        <v>1</v>
      </c>
      <c r="F35" s="23" t="n">
        <v>60.3</v>
      </c>
      <c r="G35" s="9" t="s">
        <v>679</v>
      </c>
      <c r="H35" s="9" t="s">
        <v>680</v>
      </c>
      <c r="I35" s="9" t="s">
        <v>681</v>
      </c>
      <c r="J35" s="9" t="s">
        <v>679</v>
      </c>
      <c r="K35" s="24" t="n">
        <v>0.98</v>
      </c>
      <c r="L35" s="9" t="str">
        <f aca="false">IF(K35&lt;Decision_Rules!$C$5,"Human confirm","Auto")</f>
        <v>Auto</v>
      </c>
      <c r="M35" s="9" t="n">
        <f aca="false">IF(G35=J35,1,0)</f>
        <v>1</v>
      </c>
    </row>
    <row r="36" customFormat="false" ht="15" hidden="false" customHeight="false" outlineLevel="0" collapsed="false">
      <c r="A36" s="9" t="s">
        <v>748</v>
      </c>
      <c r="B36" s="9" t="s">
        <v>558</v>
      </c>
      <c r="C36" s="9" t="s">
        <v>557</v>
      </c>
      <c r="D36" s="9" t="s">
        <v>749</v>
      </c>
      <c r="E36" s="9" t="n">
        <v>1</v>
      </c>
      <c r="F36" s="23" t="n">
        <v>60.3</v>
      </c>
      <c r="G36" s="9" t="s">
        <v>684</v>
      </c>
      <c r="H36" s="9" t="s">
        <v>680</v>
      </c>
      <c r="I36" s="9" t="s">
        <v>681</v>
      </c>
      <c r="J36" s="9" t="s">
        <v>684</v>
      </c>
      <c r="K36" s="24" t="n">
        <v>0.98</v>
      </c>
      <c r="L36" s="9" t="str">
        <f aca="false">IF(K36&lt;Decision_Rules!$C$5,"Human confirm","Auto")</f>
        <v>Auto</v>
      </c>
      <c r="M36" s="9" t="n">
        <f aca="false">IF(G36=J36,1,0)</f>
        <v>1</v>
      </c>
    </row>
    <row r="37" customFormat="false" ht="15" hidden="false" customHeight="false" outlineLevel="0" collapsed="false">
      <c r="A37" s="9" t="s">
        <v>750</v>
      </c>
      <c r="B37" s="9" t="s">
        <v>558</v>
      </c>
      <c r="C37" s="9" t="s">
        <v>557</v>
      </c>
      <c r="D37" s="9" t="s">
        <v>751</v>
      </c>
      <c r="E37" s="9" t="n">
        <v>1</v>
      </c>
      <c r="F37" s="23"/>
      <c r="G37" s="9" t="s">
        <v>687</v>
      </c>
      <c r="H37" s="9" t="s">
        <v>680</v>
      </c>
      <c r="I37" s="9" t="s">
        <v>681</v>
      </c>
      <c r="J37" s="25" t="s">
        <v>684</v>
      </c>
      <c r="K37" s="24" t="n">
        <v>0.66</v>
      </c>
      <c r="L37" s="9" t="str">
        <f aca="false">IF(K37&lt;Decision_Rules!$C$5,"Human confirm","Auto")</f>
        <v>Human confirm</v>
      </c>
      <c r="M37" s="9" t="n">
        <f aca="false">IF(G37=J37,1,0)</f>
        <v>0</v>
      </c>
    </row>
    <row r="38" customFormat="false" ht="15" hidden="false" customHeight="false" outlineLevel="0" collapsed="false">
      <c r="A38" s="9" t="s">
        <v>752</v>
      </c>
      <c r="B38" s="9" t="s">
        <v>565</v>
      </c>
      <c r="C38" s="9" t="s">
        <v>564</v>
      </c>
      <c r="D38" s="9" t="s">
        <v>753</v>
      </c>
      <c r="E38" s="9" t="n">
        <v>2</v>
      </c>
      <c r="F38" s="23" t="n">
        <v>403</v>
      </c>
      <c r="G38" s="9" t="s">
        <v>679</v>
      </c>
      <c r="H38" s="9" t="s">
        <v>680</v>
      </c>
      <c r="I38" s="9" t="s">
        <v>754</v>
      </c>
      <c r="J38" s="9" t="s">
        <v>679</v>
      </c>
      <c r="K38" s="24" t="n">
        <v>0.96</v>
      </c>
      <c r="L38" s="9" t="str">
        <f aca="false">IF(K38&lt;Decision_Rules!$C$5,"Human confirm","Auto")</f>
        <v>Auto</v>
      </c>
      <c r="M38" s="9" t="n">
        <f aca="false">IF(G38=J38,1,0)</f>
        <v>1</v>
      </c>
    </row>
    <row r="39" customFormat="false" ht="15" hidden="false" customHeight="false" outlineLevel="0" collapsed="false">
      <c r="A39" s="9" t="s">
        <v>755</v>
      </c>
      <c r="B39" s="9" t="s">
        <v>565</v>
      </c>
      <c r="C39" s="9" t="s">
        <v>564</v>
      </c>
      <c r="D39" s="9" t="s">
        <v>756</v>
      </c>
      <c r="E39" s="9" t="n">
        <v>1</v>
      </c>
      <c r="F39" s="23" t="n">
        <v>403</v>
      </c>
      <c r="G39" s="9" t="s">
        <v>684</v>
      </c>
      <c r="H39" s="9" t="s">
        <v>680</v>
      </c>
      <c r="I39" s="9" t="s">
        <v>681</v>
      </c>
      <c r="J39" s="9" t="s">
        <v>684</v>
      </c>
      <c r="K39" s="24" t="n">
        <v>0.95</v>
      </c>
      <c r="L39" s="9" t="str">
        <f aca="false">IF(K39&lt;Decision_Rules!$C$5,"Human confirm","Auto")</f>
        <v>Auto</v>
      </c>
      <c r="M39" s="9" t="n">
        <f aca="false">IF(G39=J39,1,0)</f>
        <v>1</v>
      </c>
    </row>
    <row r="40" customFormat="false" ht="15" hidden="false" customHeight="false" outlineLevel="0" collapsed="false">
      <c r="A40" s="9" t="s">
        <v>757</v>
      </c>
      <c r="B40" s="9" t="s">
        <v>571</v>
      </c>
      <c r="C40" s="9" t="s">
        <v>570</v>
      </c>
      <c r="D40" s="9" t="s">
        <v>758</v>
      </c>
      <c r="E40" s="9" t="n">
        <v>1</v>
      </c>
      <c r="F40" s="23" t="n">
        <v>350</v>
      </c>
      <c r="G40" s="9" t="s">
        <v>679</v>
      </c>
      <c r="H40" s="9" t="s">
        <v>680</v>
      </c>
      <c r="I40" s="9" t="s">
        <v>681</v>
      </c>
      <c r="J40" s="9" t="s">
        <v>679</v>
      </c>
      <c r="K40" s="24" t="n">
        <v>0.98</v>
      </c>
      <c r="L40" s="9" t="str">
        <f aca="false">IF(K40&lt;Decision_Rules!$C$5,"Human confirm","Auto")</f>
        <v>Auto</v>
      </c>
      <c r="M40" s="9" t="n">
        <f aca="false">IF(G40=J40,1,0)</f>
        <v>1</v>
      </c>
    </row>
    <row r="41" customFormat="false" ht="15" hidden="false" customHeight="false" outlineLevel="0" collapsed="false">
      <c r="A41" s="9" t="s">
        <v>759</v>
      </c>
      <c r="B41" s="9" t="s">
        <v>571</v>
      </c>
      <c r="C41" s="9" t="s">
        <v>570</v>
      </c>
      <c r="D41" s="9" t="s">
        <v>760</v>
      </c>
      <c r="E41" s="9" t="n">
        <v>1</v>
      </c>
      <c r="F41" s="23" t="n">
        <v>350</v>
      </c>
      <c r="G41" s="9" t="s">
        <v>684</v>
      </c>
      <c r="H41" s="9" t="s">
        <v>680</v>
      </c>
      <c r="I41" s="9" t="s">
        <v>681</v>
      </c>
      <c r="J41" s="9" t="s">
        <v>684</v>
      </c>
      <c r="K41" s="24" t="n">
        <v>0.99</v>
      </c>
      <c r="L41" s="9" t="str">
        <f aca="false">IF(K41&lt;Decision_Rules!$C$5,"Human confirm","Auto")</f>
        <v>Auto</v>
      </c>
      <c r="M41" s="9" t="n">
        <f aca="false">IF(G41=J41,1,0)</f>
        <v>1</v>
      </c>
    </row>
    <row r="42" customFormat="false" ht="15" hidden="false" customHeight="false" outlineLevel="0" collapsed="false">
      <c r="A42" s="9" t="s">
        <v>761</v>
      </c>
      <c r="B42" s="9" t="s">
        <v>577</v>
      </c>
      <c r="C42" s="9" t="s">
        <v>576</v>
      </c>
      <c r="D42" s="9" t="s">
        <v>762</v>
      </c>
      <c r="E42" s="9" t="n">
        <v>1</v>
      </c>
      <c r="F42" s="23" t="n">
        <v>1072</v>
      </c>
      <c r="G42" s="9" t="s">
        <v>679</v>
      </c>
      <c r="H42" s="9" t="s">
        <v>680</v>
      </c>
      <c r="I42" s="9" t="s">
        <v>681</v>
      </c>
      <c r="J42" s="9" t="s">
        <v>679</v>
      </c>
      <c r="K42" s="24" t="n">
        <v>0.99</v>
      </c>
      <c r="L42" s="9" t="str">
        <f aca="false">IF(K42&lt;Decision_Rules!$C$5,"Human confirm","Auto")</f>
        <v>Auto</v>
      </c>
      <c r="M42" s="9" t="n">
        <f aca="false">IF(G42=J42,1,0)</f>
        <v>1</v>
      </c>
    </row>
    <row r="43" customFormat="false" ht="15" hidden="false" customHeight="false" outlineLevel="0" collapsed="false">
      <c r="A43" s="9" t="s">
        <v>763</v>
      </c>
      <c r="B43" s="9" t="s">
        <v>577</v>
      </c>
      <c r="C43" s="9" t="s">
        <v>576</v>
      </c>
      <c r="D43" s="9" t="s">
        <v>764</v>
      </c>
      <c r="E43" s="9" t="n">
        <v>1</v>
      </c>
      <c r="F43" s="23" t="n">
        <v>1072</v>
      </c>
      <c r="G43" s="9" t="s">
        <v>684</v>
      </c>
      <c r="H43" s="9" t="s">
        <v>680</v>
      </c>
      <c r="I43" s="9" t="s">
        <v>681</v>
      </c>
      <c r="J43" s="9" t="s">
        <v>684</v>
      </c>
      <c r="K43" s="24" t="n">
        <v>0.96</v>
      </c>
      <c r="L43" s="9" t="str">
        <f aca="false">IF(K43&lt;Decision_Rules!$C$5,"Human confirm","Auto")</f>
        <v>Auto</v>
      </c>
      <c r="M43" s="9" t="n">
        <f aca="false">IF(G43=J43,1,0)</f>
        <v>1</v>
      </c>
    </row>
    <row r="44" customFormat="false" ht="15" hidden="false" customHeight="false" outlineLevel="0" collapsed="false">
      <c r="A44" s="9" t="s">
        <v>765</v>
      </c>
      <c r="B44" s="9" t="s">
        <v>577</v>
      </c>
      <c r="C44" s="9" t="s">
        <v>576</v>
      </c>
      <c r="D44" s="9" t="s">
        <v>766</v>
      </c>
      <c r="E44" s="9" t="n">
        <v>3</v>
      </c>
      <c r="F44" s="23"/>
      <c r="G44" s="9" t="s">
        <v>711</v>
      </c>
      <c r="H44" s="9" t="s">
        <v>712</v>
      </c>
      <c r="I44" s="9" t="s">
        <v>713</v>
      </c>
      <c r="J44" s="25" t="s">
        <v>684</v>
      </c>
      <c r="K44" s="24" t="n">
        <v>0.61</v>
      </c>
      <c r="L44" s="9" t="str">
        <f aca="false">IF(K44&lt;Decision_Rules!$C$5,"Human confirm","Auto")</f>
        <v>Human confirm</v>
      </c>
      <c r="M44" s="9" t="n">
        <f aca="false">IF(G44=J44,1,0)</f>
        <v>0</v>
      </c>
    </row>
    <row r="45" customFormat="false" ht="15" hidden="false" customHeight="false" outlineLevel="0" collapsed="false">
      <c r="A45" s="9" t="s">
        <v>767</v>
      </c>
      <c r="B45" s="9" t="s">
        <v>584</v>
      </c>
      <c r="C45" s="9" t="s">
        <v>583</v>
      </c>
      <c r="D45" s="9" t="s">
        <v>768</v>
      </c>
      <c r="E45" s="9" t="n">
        <v>1</v>
      </c>
      <c r="F45" s="23" t="n">
        <v>442</v>
      </c>
      <c r="G45" s="9" t="s">
        <v>679</v>
      </c>
      <c r="H45" s="9" t="s">
        <v>680</v>
      </c>
      <c r="I45" s="9" t="s">
        <v>681</v>
      </c>
      <c r="J45" s="9" t="s">
        <v>679</v>
      </c>
      <c r="K45" s="24" t="n">
        <v>0.97</v>
      </c>
      <c r="L45" s="9" t="str">
        <f aca="false">IF(K45&lt;Decision_Rules!$C$5,"Human confirm","Auto")</f>
        <v>Auto</v>
      </c>
      <c r="M45" s="9" t="n">
        <f aca="false">IF(G45=J45,1,0)</f>
        <v>1</v>
      </c>
    </row>
    <row r="46" customFormat="false" ht="15" hidden="false" customHeight="false" outlineLevel="0" collapsed="false">
      <c r="A46" s="9" t="s">
        <v>769</v>
      </c>
      <c r="B46" s="9" t="s">
        <v>590</v>
      </c>
      <c r="C46" s="9" t="s">
        <v>589</v>
      </c>
      <c r="D46" s="9" t="s">
        <v>770</v>
      </c>
      <c r="E46" s="9" t="n">
        <v>1</v>
      </c>
      <c r="F46" s="23" t="n">
        <v>766.5</v>
      </c>
      <c r="G46" s="9" t="s">
        <v>679</v>
      </c>
      <c r="H46" s="9" t="s">
        <v>680</v>
      </c>
      <c r="I46" s="9" t="s">
        <v>681</v>
      </c>
      <c r="J46" s="9" t="s">
        <v>679</v>
      </c>
      <c r="K46" s="24" t="n">
        <v>0.98</v>
      </c>
      <c r="L46" s="9" t="str">
        <f aca="false">IF(K46&lt;Decision_Rules!$C$5,"Human confirm","Auto")</f>
        <v>Auto</v>
      </c>
      <c r="M46" s="9" t="n">
        <f aca="false">IF(G46=J46,1,0)</f>
        <v>1</v>
      </c>
    </row>
    <row r="47" customFormat="false" ht="15" hidden="false" customHeight="false" outlineLevel="0" collapsed="false">
      <c r="A47" s="9" t="s">
        <v>771</v>
      </c>
      <c r="B47" s="9" t="s">
        <v>590</v>
      </c>
      <c r="C47" s="9" t="s">
        <v>589</v>
      </c>
      <c r="D47" s="9" t="s">
        <v>772</v>
      </c>
      <c r="E47" s="9" t="n">
        <v>1</v>
      </c>
      <c r="F47" s="23" t="n">
        <v>766.5</v>
      </c>
      <c r="G47" s="9" t="s">
        <v>684</v>
      </c>
      <c r="H47" s="9" t="s">
        <v>680</v>
      </c>
      <c r="I47" s="9" t="s">
        <v>681</v>
      </c>
      <c r="J47" s="9" t="s">
        <v>684</v>
      </c>
      <c r="K47" s="24" t="n">
        <v>0.96</v>
      </c>
      <c r="L47" s="9" t="str">
        <f aca="false">IF(K47&lt;Decision_Rules!$C$5,"Human confirm","Auto")</f>
        <v>Auto</v>
      </c>
      <c r="M47" s="9" t="n">
        <f aca="false">IF(G47=J47,1,0)</f>
        <v>1</v>
      </c>
    </row>
    <row r="48" customFormat="false" ht="15" hidden="false" customHeight="false" outlineLevel="0" collapsed="false">
      <c r="A48" s="9" t="s">
        <v>773</v>
      </c>
      <c r="B48" s="9" t="s">
        <v>590</v>
      </c>
      <c r="C48" s="9" t="s">
        <v>589</v>
      </c>
      <c r="D48" s="9" t="s">
        <v>774</v>
      </c>
      <c r="E48" s="9" t="n">
        <v>2</v>
      </c>
      <c r="F48" s="23"/>
      <c r="G48" s="9" t="s">
        <v>708</v>
      </c>
      <c r="H48" s="9" t="s">
        <v>680</v>
      </c>
      <c r="I48" s="9" t="s">
        <v>681</v>
      </c>
      <c r="J48" s="9" t="s">
        <v>708</v>
      </c>
      <c r="K48" s="24" t="n">
        <v>0.98</v>
      </c>
      <c r="L48" s="9" t="str">
        <f aca="false">IF(K48&lt;Decision_Rules!$C$5,"Human confirm","Auto")</f>
        <v>Auto</v>
      </c>
      <c r="M48" s="9" t="n">
        <f aca="false">IF(G48=J48,1,0)</f>
        <v>1</v>
      </c>
    </row>
    <row r="49" customFormat="false" ht="15" hidden="false" customHeight="false" outlineLevel="0" collapsed="false">
      <c r="A49" s="9" t="s">
        <v>775</v>
      </c>
      <c r="B49" s="9" t="s">
        <v>596</v>
      </c>
      <c r="C49" s="9" t="s">
        <v>595</v>
      </c>
      <c r="D49" s="9" t="s">
        <v>776</v>
      </c>
      <c r="E49" s="9" t="n">
        <v>1</v>
      </c>
      <c r="F49" s="23" t="n">
        <v>418</v>
      </c>
      <c r="G49" s="9" t="s">
        <v>679</v>
      </c>
      <c r="H49" s="9" t="s">
        <v>680</v>
      </c>
      <c r="I49" s="9" t="s">
        <v>681</v>
      </c>
      <c r="J49" s="9" t="s">
        <v>679</v>
      </c>
      <c r="K49" s="24" t="n">
        <v>0.96</v>
      </c>
      <c r="L49" s="9" t="str">
        <f aca="false">IF(K49&lt;Decision_Rules!$C$5,"Human confirm","Auto")</f>
        <v>Auto</v>
      </c>
      <c r="M49" s="9" t="n">
        <f aca="false">IF(G49=J49,1,0)</f>
        <v>1</v>
      </c>
    </row>
    <row r="50" customFormat="false" ht="15" hidden="false" customHeight="false" outlineLevel="0" collapsed="false">
      <c r="A50" s="9" t="s">
        <v>777</v>
      </c>
      <c r="B50" s="9" t="s">
        <v>596</v>
      </c>
      <c r="C50" s="9" t="s">
        <v>595</v>
      </c>
      <c r="D50" s="9" t="s">
        <v>778</v>
      </c>
      <c r="E50" s="9" t="n">
        <v>1</v>
      </c>
      <c r="F50" s="23" t="n">
        <v>418</v>
      </c>
      <c r="G50" s="9" t="s">
        <v>684</v>
      </c>
      <c r="H50" s="9" t="s">
        <v>680</v>
      </c>
      <c r="I50" s="9" t="s">
        <v>681</v>
      </c>
      <c r="J50" s="9" t="s">
        <v>684</v>
      </c>
      <c r="K50" s="24" t="n">
        <v>0.99</v>
      </c>
      <c r="L50" s="9" t="str">
        <f aca="false">IF(K50&lt;Decision_Rules!$C$5,"Human confirm","Auto")</f>
        <v>Auto</v>
      </c>
      <c r="M50" s="9" t="n">
        <f aca="false">IF(G50=J50,1,0)</f>
        <v>1</v>
      </c>
    </row>
    <row r="51" customFormat="false" ht="15" hidden="false" customHeight="false" outlineLevel="0" collapsed="false">
      <c r="A51" s="9" t="s">
        <v>779</v>
      </c>
      <c r="B51" s="9" t="s">
        <v>596</v>
      </c>
      <c r="C51" s="9" t="s">
        <v>595</v>
      </c>
      <c r="D51" s="9" t="s">
        <v>780</v>
      </c>
      <c r="E51" s="9" t="n">
        <v>1</v>
      </c>
      <c r="F51" s="23"/>
      <c r="G51" s="9" t="s">
        <v>687</v>
      </c>
      <c r="H51" s="9" t="s">
        <v>680</v>
      </c>
      <c r="I51" s="9" t="s">
        <v>681</v>
      </c>
      <c r="J51" s="9" t="s">
        <v>687</v>
      </c>
      <c r="K51" s="24" t="n">
        <v>0.99</v>
      </c>
      <c r="L51" s="9" t="str">
        <f aca="false">IF(K51&lt;Decision_Rules!$C$5,"Human confirm","Auto")</f>
        <v>Auto</v>
      </c>
      <c r="M51" s="9" t="n">
        <f aca="false">IF(G51=J51,1,0)</f>
        <v>1</v>
      </c>
    </row>
    <row r="52" customFormat="false" ht="15" hidden="false" customHeight="false" outlineLevel="0" collapsed="false">
      <c r="A52" s="9" t="s">
        <v>781</v>
      </c>
      <c r="B52" s="9" t="s">
        <v>602</v>
      </c>
      <c r="C52" s="9" t="s">
        <v>601</v>
      </c>
      <c r="D52" s="9" t="s">
        <v>782</v>
      </c>
      <c r="E52" s="9" t="n">
        <v>1</v>
      </c>
      <c r="F52" s="23" t="n">
        <v>388.2</v>
      </c>
      <c r="G52" s="9" t="s">
        <v>679</v>
      </c>
      <c r="H52" s="9" t="s">
        <v>680</v>
      </c>
      <c r="I52" s="9" t="s">
        <v>681</v>
      </c>
      <c r="J52" s="9" t="s">
        <v>679</v>
      </c>
      <c r="K52" s="24" t="n">
        <v>0.98</v>
      </c>
      <c r="L52" s="9" t="str">
        <f aca="false">IF(K52&lt;Decision_Rules!$C$5,"Human confirm","Auto")</f>
        <v>Auto</v>
      </c>
      <c r="M52" s="9" t="n">
        <f aca="false">IF(G52=J52,1,0)</f>
        <v>1</v>
      </c>
    </row>
    <row r="53" customFormat="false" ht="15" hidden="false" customHeight="false" outlineLevel="0" collapsed="false">
      <c r="A53" s="9" t="s">
        <v>783</v>
      </c>
      <c r="B53" s="9" t="s">
        <v>602</v>
      </c>
      <c r="C53" s="9" t="s">
        <v>601</v>
      </c>
      <c r="D53" s="9" t="s">
        <v>784</v>
      </c>
      <c r="E53" s="9" t="n">
        <v>1</v>
      </c>
      <c r="F53" s="23" t="n">
        <v>388.2</v>
      </c>
      <c r="G53" s="9" t="s">
        <v>684</v>
      </c>
      <c r="H53" s="9" t="s">
        <v>680</v>
      </c>
      <c r="I53" s="9" t="s">
        <v>681</v>
      </c>
      <c r="J53" s="9" t="s">
        <v>684</v>
      </c>
      <c r="K53" s="24" t="n">
        <v>0.99</v>
      </c>
      <c r="L53" s="9" t="str">
        <f aca="false">IF(K53&lt;Decision_Rules!$C$5,"Human confirm","Auto")</f>
        <v>Auto</v>
      </c>
      <c r="M53" s="9" t="n">
        <f aca="false">IF(G53=J53,1,0)</f>
        <v>1</v>
      </c>
    </row>
    <row r="54" customFormat="false" ht="15" hidden="false" customHeight="false" outlineLevel="0" collapsed="false">
      <c r="A54" s="9" t="s">
        <v>785</v>
      </c>
      <c r="B54" s="9" t="s">
        <v>608</v>
      </c>
      <c r="C54" s="9" t="s">
        <v>607</v>
      </c>
      <c r="D54" s="9" t="s">
        <v>786</v>
      </c>
      <c r="E54" s="9" t="n">
        <v>1</v>
      </c>
      <c r="F54" s="23" t="n">
        <v>60.5</v>
      </c>
      <c r="G54" s="9" t="s">
        <v>679</v>
      </c>
      <c r="H54" s="9" t="s">
        <v>680</v>
      </c>
      <c r="I54" s="9" t="s">
        <v>681</v>
      </c>
      <c r="J54" s="9" t="s">
        <v>679</v>
      </c>
      <c r="K54" s="24" t="n">
        <v>0.94</v>
      </c>
      <c r="L54" s="9" t="str">
        <f aca="false">IF(K54&lt;Decision_Rules!$C$5,"Human confirm","Auto")</f>
        <v>Auto</v>
      </c>
      <c r="M54" s="9" t="n">
        <f aca="false">IF(G54=J54,1,0)</f>
        <v>1</v>
      </c>
    </row>
    <row r="55" customFormat="false" ht="15" hidden="false" customHeight="false" outlineLevel="0" collapsed="false">
      <c r="A55" s="9" t="s">
        <v>787</v>
      </c>
      <c r="B55" s="9" t="s">
        <v>608</v>
      </c>
      <c r="C55" s="9" t="s">
        <v>607</v>
      </c>
      <c r="D55" s="9" t="s">
        <v>788</v>
      </c>
      <c r="E55" s="9" t="n">
        <v>1</v>
      </c>
      <c r="F55" s="23" t="n">
        <v>60.5</v>
      </c>
      <c r="G55" s="9" t="s">
        <v>684</v>
      </c>
      <c r="H55" s="9" t="s">
        <v>680</v>
      </c>
      <c r="I55" s="9" t="s">
        <v>681</v>
      </c>
      <c r="J55" s="9" t="s">
        <v>684</v>
      </c>
      <c r="K55" s="24" t="n">
        <v>0.99</v>
      </c>
      <c r="L55" s="9" t="str">
        <f aca="false">IF(K55&lt;Decision_Rules!$C$5,"Human confirm","Auto")</f>
        <v>Auto</v>
      </c>
      <c r="M55" s="9" t="n">
        <f aca="false">IF(G55=J55,1,0)</f>
        <v>1</v>
      </c>
    </row>
    <row r="56" customFormat="false" ht="15" hidden="false" customHeight="false" outlineLevel="0" collapsed="false">
      <c r="A56" s="9" t="s">
        <v>789</v>
      </c>
      <c r="B56" s="9" t="s">
        <v>608</v>
      </c>
      <c r="C56" s="9" t="s">
        <v>607</v>
      </c>
      <c r="D56" s="9" t="s">
        <v>790</v>
      </c>
      <c r="E56" s="9" t="n">
        <v>1</v>
      </c>
      <c r="F56" s="23"/>
      <c r="G56" s="9" t="s">
        <v>711</v>
      </c>
      <c r="H56" s="9" t="s">
        <v>712</v>
      </c>
      <c r="I56" s="9" t="s">
        <v>713</v>
      </c>
      <c r="J56" s="9" t="s">
        <v>711</v>
      </c>
      <c r="K56" s="24" t="n">
        <v>0.99</v>
      </c>
      <c r="L56" s="9" t="str">
        <f aca="false">IF(K56&lt;Decision_Rules!$C$5,"Human confirm","Auto")</f>
        <v>Auto</v>
      </c>
      <c r="M56" s="9" t="n">
        <f aca="false">IF(G56=J56,1,0)</f>
        <v>1</v>
      </c>
    </row>
    <row r="57" customFormat="false" ht="15" hidden="false" customHeight="false" outlineLevel="0" collapsed="false">
      <c r="A57" s="9" t="s">
        <v>791</v>
      </c>
      <c r="B57" s="9" t="s">
        <v>614</v>
      </c>
      <c r="C57" s="9" t="s">
        <v>613</v>
      </c>
      <c r="D57" s="9" t="s">
        <v>792</v>
      </c>
      <c r="E57" s="9" t="n">
        <v>1</v>
      </c>
      <c r="F57" s="23" t="n">
        <v>422</v>
      </c>
      <c r="G57" s="9" t="s">
        <v>679</v>
      </c>
      <c r="H57" s="9" t="s">
        <v>680</v>
      </c>
      <c r="I57" s="9" t="s">
        <v>681</v>
      </c>
      <c r="J57" s="9" t="s">
        <v>679</v>
      </c>
      <c r="K57" s="24" t="n">
        <v>0.99</v>
      </c>
      <c r="L57" s="9" t="str">
        <f aca="false">IF(K57&lt;Decision_Rules!$C$5,"Human confirm","Auto")</f>
        <v>Auto</v>
      </c>
      <c r="M57" s="9" t="n">
        <f aca="false">IF(G57=J57,1,0)</f>
        <v>1</v>
      </c>
    </row>
    <row r="58" customFormat="false" ht="15" hidden="false" customHeight="false" outlineLevel="0" collapsed="false">
      <c r="A58" s="9" t="s">
        <v>793</v>
      </c>
      <c r="B58" s="9" t="s">
        <v>614</v>
      </c>
      <c r="C58" s="9" t="s">
        <v>613</v>
      </c>
      <c r="D58" s="9" t="s">
        <v>794</v>
      </c>
      <c r="E58" s="9" t="n">
        <v>1</v>
      </c>
      <c r="F58" s="23" t="n">
        <v>422</v>
      </c>
      <c r="G58" s="9" t="s">
        <v>684</v>
      </c>
      <c r="H58" s="9" t="s">
        <v>680</v>
      </c>
      <c r="I58" s="9" t="s">
        <v>681</v>
      </c>
      <c r="J58" s="9" t="s">
        <v>684</v>
      </c>
      <c r="K58" s="24" t="n">
        <v>0.97</v>
      </c>
      <c r="L58" s="9" t="str">
        <f aca="false">IF(K58&lt;Decision_Rules!$C$5,"Human confirm","Auto")</f>
        <v>Auto</v>
      </c>
      <c r="M58" s="9" t="n">
        <f aca="false">IF(G58=J58,1,0)</f>
        <v>1</v>
      </c>
    </row>
    <row r="59" customFormat="false" ht="15" hidden="false" customHeight="false" outlineLevel="0" collapsed="false">
      <c r="A59" s="9" t="s">
        <v>795</v>
      </c>
      <c r="B59" s="9" t="s">
        <v>614</v>
      </c>
      <c r="C59" s="9" t="s">
        <v>613</v>
      </c>
      <c r="D59" s="9" t="s">
        <v>796</v>
      </c>
      <c r="E59" s="9" t="n">
        <v>2</v>
      </c>
      <c r="F59" s="23"/>
      <c r="G59" s="9" t="s">
        <v>708</v>
      </c>
      <c r="H59" s="9" t="s">
        <v>680</v>
      </c>
      <c r="I59" s="9" t="s">
        <v>681</v>
      </c>
      <c r="J59" s="9" t="s">
        <v>708</v>
      </c>
      <c r="K59" s="24" t="n">
        <v>0.99</v>
      </c>
      <c r="L59" s="9" t="str">
        <f aca="false">IF(K59&lt;Decision_Rules!$C$5,"Human confirm","Auto")</f>
        <v>Auto</v>
      </c>
      <c r="M59" s="9" t="n">
        <f aca="false">IF(G59=J59,1,0)</f>
        <v>1</v>
      </c>
    </row>
    <row r="60" customFormat="false" ht="15" hidden="false" customHeight="false" outlineLevel="0" collapsed="false">
      <c r="A60" s="9" t="s">
        <v>797</v>
      </c>
      <c r="B60" s="9" t="s">
        <v>619</v>
      </c>
      <c r="C60" s="9" t="s">
        <v>618</v>
      </c>
      <c r="D60" s="9" t="s">
        <v>798</v>
      </c>
      <c r="E60" s="9" t="n">
        <v>1</v>
      </c>
      <c r="F60" s="23" t="n">
        <v>979</v>
      </c>
      <c r="G60" s="9" t="s">
        <v>679</v>
      </c>
      <c r="H60" s="9" t="s">
        <v>680</v>
      </c>
      <c r="I60" s="9" t="s">
        <v>681</v>
      </c>
      <c r="J60" s="9" t="s">
        <v>679</v>
      </c>
      <c r="K60" s="24" t="n">
        <v>0.94</v>
      </c>
      <c r="L60" s="9" t="str">
        <f aca="false">IF(K60&lt;Decision_Rules!$C$5,"Human confirm","Auto")</f>
        <v>Auto</v>
      </c>
      <c r="M60" s="9" t="n">
        <f aca="false">IF(G60=J60,1,0)</f>
        <v>1</v>
      </c>
    </row>
    <row r="61" customFormat="false" ht="15" hidden="false" customHeight="false" outlineLevel="0" collapsed="false">
      <c r="A61" s="9" t="s">
        <v>799</v>
      </c>
      <c r="B61" s="9" t="s">
        <v>619</v>
      </c>
      <c r="C61" s="9" t="s">
        <v>618</v>
      </c>
      <c r="D61" s="9" t="s">
        <v>800</v>
      </c>
      <c r="E61" s="9" t="n">
        <v>1</v>
      </c>
      <c r="F61" s="23" t="n">
        <v>979</v>
      </c>
      <c r="G61" s="9" t="s">
        <v>684</v>
      </c>
      <c r="H61" s="9" t="s">
        <v>680</v>
      </c>
      <c r="I61" s="9" t="s">
        <v>681</v>
      </c>
      <c r="J61" s="9" t="s">
        <v>684</v>
      </c>
      <c r="K61" s="24" t="n">
        <v>0.99</v>
      </c>
      <c r="L61" s="9" t="str">
        <f aca="false">IF(K61&lt;Decision_Rules!$C$5,"Human confirm","Auto")</f>
        <v>Auto</v>
      </c>
      <c r="M61" s="9" t="n">
        <f aca="false">IF(G61=J61,1,0)</f>
        <v>1</v>
      </c>
    </row>
    <row r="62" customFormat="false" ht="15" hidden="false" customHeight="false" outlineLevel="0" collapsed="false">
      <c r="A62" s="9" t="s">
        <v>801</v>
      </c>
      <c r="B62" s="9" t="s">
        <v>619</v>
      </c>
      <c r="C62" s="9" t="s">
        <v>618</v>
      </c>
      <c r="D62" s="9" t="s">
        <v>802</v>
      </c>
      <c r="E62" s="9" t="n">
        <v>1</v>
      </c>
      <c r="F62" s="23"/>
      <c r="G62" s="9" t="s">
        <v>687</v>
      </c>
      <c r="H62" s="9" t="s">
        <v>680</v>
      </c>
      <c r="I62" s="9" t="s">
        <v>681</v>
      </c>
      <c r="J62" s="9" t="s">
        <v>687</v>
      </c>
      <c r="K62" s="24" t="n">
        <v>0.94</v>
      </c>
      <c r="L62" s="9" t="str">
        <f aca="false">IF(K62&lt;Decision_Rules!$C$5,"Human confirm","Auto")</f>
        <v>Auto</v>
      </c>
      <c r="M62" s="9" t="n">
        <f aca="false">IF(G62=J62,1,0)</f>
        <v>1</v>
      </c>
    </row>
    <row r="63" customFormat="false" ht="15" hidden="false" customHeight="false" outlineLevel="0" collapsed="false">
      <c r="A63" s="9" t="s">
        <v>803</v>
      </c>
      <c r="B63" s="9" t="s">
        <v>625</v>
      </c>
      <c r="C63" s="9" t="s">
        <v>624</v>
      </c>
      <c r="D63" s="9" t="s">
        <v>804</v>
      </c>
      <c r="E63" s="9" t="n">
        <v>1</v>
      </c>
      <c r="F63" s="23" t="n">
        <v>6957</v>
      </c>
      <c r="G63" s="9" t="s">
        <v>679</v>
      </c>
      <c r="H63" s="9" t="s">
        <v>680</v>
      </c>
      <c r="I63" s="9" t="s">
        <v>681</v>
      </c>
      <c r="J63" s="9" t="s">
        <v>679</v>
      </c>
      <c r="K63" s="24" t="n">
        <v>0.96</v>
      </c>
      <c r="L63" s="9" t="str">
        <f aca="false">IF(K63&lt;Decision_Rules!$C$5,"Human confirm","Auto")</f>
        <v>Auto</v>
      </c>
      <c r="M63" s="9" t="n">
        <f aca="false">IF(G63=J63,1,0)</f>
        <v>1</v>
      </c>
    </row>
    <row r="64" customFormat="false" ht="15" hidden="false" customHeight="false" outlineLevel="0" collapsed="false">
      <c r="A64" s="9" t="s">
        <v>805</v>
      </c>
      <c r="B64" s="9" t="s">
        <v>625</v>
      </c>
      <c r="C64" s="9" t="s">
        <v>624</v>
      </c>
      <c r="D64" s="9" t="s">
        <v>806</v>
      </c>
      <c r="E64" s="9" t="n">
        <v>1</v>
      </c>
      <c r="F64" s="23" t="n">
        <v>6957</v>
      </c>
      <c r="G64" s="9" t="s">
        <v>684</v>
      </c>
      <c r="H64" s="9" t="s">
        <v>680</v>
      </c>
      <c r="I64" s="9" t="s">
        <v>681</v>
      </c>
      <c r="J64" s="9" t="s">
        <v>684</v>
      </c>
      <c r="K64" s="24" t="n">
        <v>0.95</v>
      </c>
      <c r="L64" s="9" t="str">
        <f aca="false">IF(K64&lt;Decision_Rules!$C$5,"Human confirm","Auto")</f>
        <v>Auto</v>
      </c>
      <c r="M64" s="9" t="n">
        <f aca="false">IF(G64=J64,1,0)</f>
        <v>1</v>
      </c>
    </row>
    <row r="65" customFormat="false" ht="15" hidden="false" customHeight="false" outlineLevel="0" collapsed="false">
      <c r="A65" s="9" t="s">
        <v>807</v>
      </c>
      <c r="B65" s="9" t="s">
        <v>625</v>
      </c>
      <c r="C65" s="9" t="s">
        <v>624</v>
      </c>
      <c r="D65" s="9" t="s">
        <v>808</v>
      </c>
      <c r="E65" s="9" t="n">
        <v>2</v>
      </c>
      <c r="F65" s="23"/>
      <c r="G65" s="9" t="s">
        <v>708</v>
      </c>
      <c r="H65" s="9" t="s">
        <v>680</v>
      </c>
      <c r="I65" s="9" t="s">
        <v>681</v>
      </c>
      <c r="J65" s="9" t="s">
        <v>708</v>
      </c>
      <c r="K65" s="24" t="n">
        <v>0.99</v>
      </c>
      <c r="L65" s="9" t="str">
        <f aca="false">IF(K65&lt;Decision_Rules!$C$5,"Human confirm","Auto")</f>
        <v>Auto</v>
      </c>
      <c r="M65" s="9" t="n">
        <f aca="false">IF(G65=J65,1,0)</f>
        <v>1</v>
      </c>
    </row>
    <row r="66" customFormat="false" ht="15" hidden="false" customHeight="false" outlineLevel="0" collapsed="false">
      <c r="A66" s="9" t="s">
        <v>809</v>
      </c>
      <c r="B66" s="9" t="s">
        <v>631</v>
      </c>
      <c r="C66" s="9" t="s">
        <v>630</v>
      </c>
      <c r="D66" s="9" t="s">
        <v>810</v>
      </c>
      <c r="E66" s="9" t="n">
        <v>1</v>
      </c>
      <c r="F66" s="23" t="n">
        <v>1442</v>
      </c>
      <c r="G66" s="9" t="s">
        <v>679</v>
      </c>
      <c r="H66" s="9" t="s">
        <v>680</v>
      </c>
      <c r="I66" s="9" t="s">
        <v>681</v>
      </c>
      <c r="J66" s="9" t="s">
        <v>679</v>
      </c>
      <c r="K66" s="24" t="n">
        <v>0.96</v>
      </c>
      <c r="L66" s="9" t="str">
        <f aca="false">IF(K66&lt;Decision_Rules!$C$5,"Human confirm","Auto")</f>
        <v>Auto</v>
      </c>
      <c r="M66" s="9" t="n">
        <f aca="false">IF(G66=J66,1,0)</f>
        <v>1</v>
      </c>
    </row>
    <row r="67" customFormat="false" ht="15" hidden="false" customHeight="false" outlineLevel="0" collapsed="false">
      <c r="A67" s="9" t="s">
        <v>811</v>
      </c>
      <c r="B67" s="9" t="s">
        <v>631</v>
      </c>
      <c r="C67" s="9" t="s">
        <v>630</v>
      </c>
      <c r="D67" s="9" t="s">
        <v>812</v>
      </c>
      <c r="E67" s="9" t="n">
        <v>1</v>
      </c>
      <c r="F67" s="23" t="n">
        <v>1442</v>
      </c>
      <c r="G67" s="9" t="s">
        <v>684</v>
      </c>
      <c r="H67" s="9" t="s">
        <v>680</v>
      </c>
      <c r="I67" s="9" t="s">
        <v>681</v>
      </c>
      <c r="J67" s="9" t="s">
        <v>684</v>
      </c>
      <c r="K67" s="24" t="n">
        <v>0.96</v>
      </c>
      <c r="L67" s="9" t="str">
        <f aca="false">IF(K67&lt;Decision_Rules!$C$5,"Human confirm","Auto")</f>
        <v>Auto</v>
      </c>
      <c r="M67" s="9" t="n">
        <f aca="false">IF(G67=J67,1,0)</f>
        <v>1</v>
      </c>
    </row>
    <row r="68" customFormat="false" ht="15" hidden="false" customHeight="false" outlineLevel="0" collapsed="false">
      <c r="A68" s="9" t="s">
        <v>813</v>
      </c>
      <c r="B68" s="9" t="s">
        <v>637</v>
      </c>
      <c r="C68" s="9" t="s">
        <v>636</v>
      </c>
      <c r="D68" s="9" t="s">
        <v>814</v>
      </c>
      <c r="E68" s="9" t="n">
        <v>1</v>
      </c>
      <c r="F68" s="23" t="n">
        <v>241</v>
      </c>
      <c r="G68" s="9" t="s">
        <v>679</v>
      </c>
      <c r="H68" s="9" t="s">
        <v>680</v>
      </c>
      <c r="I68" s="9" t="s">
        <v>681</v>
      </c>
      <c r="J68" s="9" t="s">
        <v>679</v>
      </c>
      <c r="K68" s="24" t="n">
        <v>0.95</v>
      </c>
      <c r="L68" s="9" t="str">
        <f aca="false">IF(K68&lt;Decision_Rules!$C$5,"Human confirm","Auto")</f>
        <v>Auto</v>
      </c>
      <c r="M68" s="9" t="n">
        <f aca="false">IF(G68=J68,1,0)</f>
        <v>1</v>
      </c>
    </row>
    <row r="69" customFormat="false" ht="15" hidden="false" customHeight="false" outlineLevel="0" collapsed="false">
      <c r="A69" s="9" t="s">
        <v>815</v>
      </c>
      <c r="B69" s="9" t="s">
        <v>637</v>
      </c>
      <c r="C69" s="9" t="s">
        <v>636</v>
      </c>
      <c r="D69" s="9" t="s">
        <v>816</v>
      </c>
      <c r="E69" s="9" t="n">
        <v>1</v>
      </c>
      <c r="F69" s="23" t="n">
        <v>256.2</v>
      </c>
      <c r="G69" s="9" t="s">
        <v>684</v>
      </c>
      <c r="H69" s="9" t="s">
        <v>680</v>
      </c>
      <c r="I69" s="9" t="s">
        <v>681</v>
      </c>
      <c r="J69" s="9" t="s">
        <v>684</v>
      </c>
      <c r="K69" s="24" t="n">
        <v>0.98</v>
      </c>
      <c r="L69" s="9" t="str">
        <f aca="false">IF(K69&lt;Decision_Rules!$C$5,"Human confirm","Auto")</f>
        <v>Auto</v>
      </c>
      <c r="M69" s="9" t="n">
        <f aca="false">IF(G69=J69,1,0)</f>
        <v>1</v>
      </c>
    </row>
    <row r="70" customFormat="false" ht="15" hidden="false" customHeight="false" outlineLevel="0" collapsed="false">
      <c r="A70" s="9" t="s">
        <v>817</v>
      </c>
      <c r="B70" s="9" t="s">
        <v>637</v>
      </c>
      <c r="C70" s="9" t="s">
        <v>636</v>
      </c>
      <c r="D70" s="9" t="s">
        <v>818</v>
      </c>
      <c r="E70" s="9" t="n">
        <v>2</v>
      </c>
      <c r="F70" s="23"/>
      <c r="G70" s="9" t="s">
        <v>708</v>
      </c>
      <c r="H70" s="9" t="s">
        <v>680</v>
      </c>
      <c r="I70" s="9" t="s">
        <v>681</v>
      </c>
      <c r="J70" s="9" t="s">
        <v>708</v>
      </c>
      <c r="K70" s="24" t="n">
        <v>0.95</v>
      </c>
      <c r="L70" s="9" t="str">
        <f aca="false">IF(K70&lt;Decision_Rules!$C$5,"Human confirm","Auto")</f>
        <v>Auto</v>
      </c>
      <c r="M70" s="9" t="n">
        <f aca="false">IF(G70=J70,1,0)</f>
        <v>1</v>
      </c>
    </row>
    <row r="71" customFormat="false" ht="15" hidden="false" customHeight="false" outlineLevel="0" collapsed="false">
      <c r="A71" s="9" t="s">
        <v>819</v>
      </c>
      <c r="B71" s="9" t="s">
        <v>643</v>
      </c>
      <c r="C71" s="9" t="s">
        <v>642</v>
      </c>
      <c r="D71" s="9" t="s">
        <v>820</v>
      </c>
      <c r="E71" s="9" t="n">
        <v>2</v>
      </c>
      <c r="F71" s="23" t="n">
        <v>447</v>
      </c>
      <c r="G71" s="9" t="s">
        <v>679</v>
      </c>
      <c r="H71" s="9" t="s">
        <v>680</v>
      </c>
      <c r="I71" s="9" t="s">
        <v>681</v>
      </c>
      <c r="J71" s="9" t="s">
        <v>679</v>
      </c>
      <c r="K71" s="24" t="n">
        <v>0.98</v>
      </c>
      <c r="L71" s="9" t="str">
        <f aca="false">IF(K71&lt;Decision_Rules!$C$5,"Human confirm","Auto")</f>
        <v>Auto</v>
      </c>
      <c r="M71" s="9" t="n">
        <f aca="false">IF(G71=J71,1,0)</f>
        <v>1</v>
      </c>
    </row>
    <row r="72" customFormat="false" ht="15" hidden="false" customHeight="false" outlineLevel="0" collapsed="false">
      <c r="A72" s="9" t="s">
        <v>821</v>
      </c>
      <c r="B72" s="9" t="s">
        <v>643</v>
      </c>
      <c r="C72" s="9" t="s">
        <v>642</v>
      </c>
      <c r="D72" s="9" t="s">
        <v>822</v>
      </c>
      <c r="E72" s="9" t="n">
        <v>1</v>
      </c>
      <c r="F72" s="23" t="n">
        <v>447</v>
      </c>
      <c r="G72" s="9" t="s">
        <v>684</v>
      </c>
      <c r="H72" s="9" t="s">
        <v>680</v>
      </c>
      <c r="I72" s="9" t="s">
        <v>681</v>
      </c>
      <c r="J72" s="9" t="s">
        <v>684</v>
      </c>
      <c r="K72" s="24" t="n">
        <v>0.94</v>
      </c>
      <c r="L72" s="9" t="str">
        <f aca="false">IF(K72&lt;Decision_Rules!$C$5,"Human confirm","Auto")</f>
        <v>Auto</v>
      </c>
      <c r="M72" s="9" t="n">
        <f aca="false">IF(G72=J72,1,0)</f>
        <v>1</v>
      </c>
    </row>
    <row r="73" customFormat="false" ht="15" hidden="false" customHeight="false" outlineLevel="0" collapsed="false">
      <c r="A73" s="9" t="s">
        <v>823</v>
      </c>
      <c r="B73" s="9" t="s">
        <v>643</v>
      </c>
      <c r="C73" s="9" t="s">
        <v>642</v>
      </c>
      <c r="D73" s="9" t="s">
        <v>824</v>
      </c>
      <c r="E73" s="9" t="n">
        <v>1</v>
      </c>
      <c r="F73" s="23"/>
      <c r="G73" s="9" t="s">
        <v>687</v>
      </c>
      <c r="H73" s="9" t="s">
        <v>680</v>
      </c>
      <c r="I73" s="9" t="s">
        <v>681</v>
      </c>
      <c r="J73" s="9" t="s">
        <v>687</v>
      </c>
      <c r="K73" s="24" t="n">
        <v>0.99</v>
      </c>
      <c r="L73" s="9" t="str">
        <f aca="false">IF(K73&lt;Decision_Rules!$C$5,"Human confirm","Auto")</f>
        <v>Auto</v>
      </c>
      <c r="M73" s="9" t="n">
        <f aca="false">IF(G73=J73,1,0)</f>
        <v>1</v>
      </c>
    </row>
    <row r="74" customFormat="false" ht="15" hidden="false" customHeight="false" outlineLevel="0" collapsed="false">
      <c r="A74" s="9" t="s">
        <v>825</v>
      </c>
      <c r="B74" s="9" t="s">
        <v>648</v>
      </c>
      <c r="C74" s="9" t="s">
        <v>647</v>
      </c>
      <c r="D74" s="9" t="s">
        <v>826</v>
      </c>
      <c r="E74" s="9" t="n">
        <v>2</v>
      </c>
      <c r="F74" s="23" t="n">
        <v>600</v>
      </c>
      <c r="G74" s="9" t="s">
        <v>679</v>
      </c>
      <c r="H74" s="9" t="s">
        <v>680</v>
      </c>
      <c r="I74" s="9" t="s">
        <v>681</v>
      </c>
      <c r="J74" s="9" t="s">
        <v>679</v>
      </c>
      <c r="K74" s="24" t="n">
        <v>0.98</v>
      </c>
      <c r="L74" s="9" t="str">
        <f aca="false">IF(K74&lt;Decision_Rules!$C$5,"Human confirm","Auto")</f>
        <v>Auto</v>
      </c>
      <c r="M74" s="9" t="n">
        <f aca="false">IF(G74=J74,1,0)</f>
        <v>1</v>
      </c>
    </row>
    <row r="75" customFormat="false" ht="15" hidden="false" customHeight="false" outlineLevel="0" collapsed="false">
      <c r="A75" s="9" t="s">
        <v>827</v>
      </c>
      <c r="B75" s="9" t="s">
        <v>648</v>
      </c>
      <c r="C75" s="9" t="s">
        <v>647</v>
      </c>
      <c r="D75" s="9" t="s">
        <v>828</v>
      </c>
      <c r="E75" s="9" t="n">
        <v>1</v>
      </c>
      <c r="F75" s="23" t="n">
        <v>600</v>
      </c>
      <c r="G75" s="9" t="s">
        <v>684</v>
      </c>
      <c r="H75" s="9" t="s">
        <v>680</v>
      </c>
      <c r="I75" s="9" t="s">
        <v>681</v>
      </c>
      <c r="J75" s="9" t="s">
        <v>684</v>
      </c>
      <c r="K75" s="24" t="n">
        <v>0.98</v>
      </c>
      <c r="L75" s="9" t="str">
        <f aca="false">IF(K75&lt;Decision_Rules!$C$5,"Human confirm","Auto")</f>
        <v>Auto</v>
      </c>
      <c r="M75" s="9" t="n">
        <f aca="false">IF(G75=J75,1,0)</f>
        <v>1</v>
      </c>
    </row>
    <row r="76" customFormat="false" ht="15" hidden="false" customHeight="false" outlineLevel="0" collapsed="false">
      <c r="A76" s="9" t="s">
        <v>829</v>
      </c>
      <c r="B76" s="9" t="s">
        <v>652</v>
      </c>
      <c r="C76" s="9" t="s">
        <v>651</v>
      </c>
      <c r="D76" s="9" t="s">
        <v>830</v>
      </c>
      <c r="E76" s="9" t="n">
        <v>2</v>
      </c>
      <c r="F76" s="23" t="n">
        <v>419.6</v>
      </c>
      <c r="G76" s="9" t="s">
        <v>679</v>
      </c>
      <c r="H76" s="9" t="s">
        <v>680</v>
      </c>
      <c r="I76" s="9" t="s">
        <v>681</v>
      </c>
      <c r="J76" s="9" t="s">
        <v>679</v>
      </c>
      <c r="K76" s="24" t="n">
        <v>0.96</v>
      </c>
      <c r="L76" s="9" t="str">
        <f aca="false">IF(K76&lt;Decision_Rules!$C$5,"Human confirm","Auto")</f>
        <v>Auto</v>
      </c>
      <c r="M76" s="9" t="n">
        <f aca="false">IF(G76=J76,1,0)</f>
        <v>1</v>
      </c>
    </row>
    <row r="77" customFormat="false" ht="15" hidden="false" customHeight="false" outlineLevel="0" collapsed="false">
      <c r="A77" s="9" t="s">
        <v>831</v>
      </c>
      <c r="B77" s="9" t="s">
        <v>652</v>
      </c>
      <c r="C77" s="9" t="s">
        <v>651</v>
      </c>
      <c r="D77" s="9" t="s">
        <v>832</v>
      </c>
      <c r="E77" s="9" t="n">
        <v>1</v>
      </c>
      <c r="F77" s="23" t="n">
        <v>419.6</v>
      </c>
      <c r="G77" s="9" t="s">
        <v>684</v>
      </c>
      <c r="H77" s="9" t="s">
        <v>680</v>
      </c>
      <c r="I77" s="9" t="s">
        <v>681</v>
      </c>
      <c r="J77" s="9" t="s">
        <v>684</v>
      </c>
      <c r="K77" s="24" t="n">
        <v>0.97</v>
      </c>
      <c r="L77" s="9" t="str">
        <f aca="false">IF(K77&lt;Decision_Rules!$C$5,"Human confirm","Auto")</f>
        <v>Auto</v>
      </c>
      <c r="M77" s="9" t="n">
        <f aca="false">IF(G77=J77,1,0)</f>
        <v>1</v>
      </c>
    </row>
    <row r="78" customFormat="false" ht="15" hidden="false" customHeight="false" outlineLevel="0" collapsed="false">
      <c r="A78" s="9" t="s">
        <v>833</v>
      </c>
      <c r="B78" s="9" t="s">
        <v>652</v>
      </c>
      <c r="C78" s="9" t="s">
        <v>651</v>
      </c>
      <c r="D78" s="9" t="s">
        <v>834</v>
      </c>
      <c r="E78" s="9" t="n">
        <v>2</v>
      </c>
      <c r="F78" s="23"/>
      <c r="G78" s="9" t="s">
        <v>708</v>
      </c>
      <c r="H78" s="9" t="s">
        <v>680</v>
      </c>
      <c r="I78" s="9" t="s">
        <v>681</v>
      </c>
      <c r="J78" s="9" t="s">
        <v>708</v>
      </c>
      <c r="K78" s="24" t="n">
        <v>0.98</v>
      </c>
      <c r="L78" s="9" t="str">
        <f aca="false">IF(K78&lt;Decision_Rules!$C$5,"Human confirm","Auto")</f>
        <v>Auto</v>
      </c>
      <c r="M78" s="9" t="n">
        <f aca="false">IF(G78=J78,1,0)</f>
        <v>1</v>
      </c>
    </row>
    <row r="79" customFormat="false" ht="15" hidden="false" customHeight="false" outlineLevel="0" collapsed="false">
      <c r="A79" s="9" t="s">
        <v>835</v>
      </c>
      <c r="B79" s="9" t="s">
        <v>657</v>
      </c>
      <c r="C79" s="9" t="s">
        <v>656</v>
      </c>
      <c r="D79" s="9" t="s">
        <v>836</v>
      </c>
      <c r="E79" s="9" t="n">
        <v>1</v>
      </c>
      <c r="F79" s="23" t="n">
        <v>94</v>
      </c>
      <c r="G79" s="9" t="s">
        <v>679</v>
      </c>
      <c r="H79" s="9" t="s">
        <v>680</v>
      </c>
      <c r="I79" s="9" t="s">
        <v>681</v>
      </c>
      <c r="J79" s="9" t="s">
        <v>679</v>
      </c>
      <c r="K79" s="24" t="n">
        <v>0.94</v>
      </c>
      <c r="L79" s="9" t="str">
        <f aca="false">IF(K79&lt;Decision_Rules!$C$5,"Human confirm","Auto")</f>
        <v>Auto</v>
      </c>
      <c r="M79" s="9" t="n">
        <f aca="false">IF(G79=J79,1,0)</f>
        <v>1</v>
      </c>
    </row>
    <row r="80" customFormat="false" ht="15" hidden="false" customHeight="false" outlineLevel="0" collapsed="false">
      <c r="A80" s="9" t="s">
        <v>837</v>
      </c>
      <c r="B80" s="9" t="s">
        <v>657</v>
      </c>
      <c r="C80" s="9" t="s">
        <v>656</v>
      </c>
      <c r="D80" s="9" t="s">
        <v>838</v>
      </c>
      <c r="E80" s="9" t="n">
        <v>1</v>
      </c>
      <c r="F80" s="23" t="n">
        <v>94</v>
      </c>
      <c r="G80" s="9" t="s">
        <v>684</v>
      </c>
      <c r="H80" s="9" t="s">
        <v>680</v>
      </c>
      <c r="I80" s="9" t="s">
        <v>681</v>
      </c>
      <c r="J80" s="9" t="s">
        <v>684</v>
      </c>
      <c r="K80" s="24" t="n">
        <v>0.95</v>
      </c>
      <c r="L80" s="9" t="str">
        <f aca="false">IF(K80&lt;Decision_Rules!$C$5,"Human confirm","Auto")</f>
        <v>Auto</v>
      </c>
      <c r="M80" s="9" t="n">
        <f aca="false">IF(G80=J80,1,0)</f>
        <v>1</v>
      </c>
    </row>
    <row r="81" customFormat="false" ht="15" hidden="false" customHeight="false" outlineLevel="0" collapsed="false">
      <c r="A81" s="9" t="s">
        <v>839</v>
      </c>
      <c r="B81" s="9" t="s">
        <v>662</v>
      </c>
      <c r="C81" s="9" t="s">
        <v>661</v>
      </c>
      <c r="D81" s="9" t="s">
        <v>840</v>
      </c>
      <c r="E81" s="9" t="n">
        <v>1</v>
      </c>
      <c r="F81" s="23" t="n">
        <v>1800.7</v>
      </c>
      <c r="G81" s="9" t="s">
        <v>679</v>
      </c>
      <c r="H81" s="9" t="s">
        <v>680</v>
      </c>
      <c r="I81" s="9" t="s">
        <v>681</v>
      </c>
      <c r="J81" s="9" t="s">
        <v>679</v>
      </c>
      <c r="K81" s="24" t="n">
        <v>0.99</v>
      </c>
      <c r="L81" s="9" t="str">
        <f aca="false">IF(K81&lt;Decision_Rules!$C$5,"Human confirm","Auto")</f>
        <v>Auto</v>
      </c>
      <c r="M81" s="9" t="n">
        <f aca="false">IF(G81=J81,1,0)</f>
        <v>1</v>
      </c>
    </row>
    <row r="82" customFormat="false" ht="15" hidden="false" customHeight="false" outlineLevel="0" collapsed="false">
      <c r="A82" s="9" t="s">
        <v>841</v>
      </c>
      <c r="B82" s="9" t="s">
        <v>662</v>
      </c>
      <c r="C82" s="9" t="s">
        <v>661</v>
      </c>
      <c r="D82" s="9" t="s">
        <v>842</v>
      </c>
      <c r="E82" s="9" t="n">
        <v>1</v>
      </c>
      <c r="F82" s="23" t="n">
        <v>1800.7</v>
      </c>
      <c r="G82" s="9" t="s">
        <v>684</v>
      </c>
      <c r="H82" s="9" t="s">
        <v>680</v>
      </c>
      <c r="I82" s="9" t="s">
        <v>681</v>
      </c>
      <c r="J82" s="9" t="s">
        <v>684</v>
      </c>
      <c r="K82" s="24" t="n">
        <v>0.94</v>
      </c>
      <c r="L82" s="9" t="str">
        <f aca="false">IF(K82&lt;Decision_Rules!$C$5,"Human confirm","Auto")</f>
        <v>Auto</v>
      </c>
      <c r="M82" s="9" t="n">
        <f aca="false">IF(G82=J82,1,0)</f>
        <v>1</v>
      </c>
    </row>
    <row r="83" customFormat="false" ht="15" hidden="false" customHeight="false" outlineLevel="0" collapsed="false">
      <c r="A83" s="9" t="s">
        <v>843</v>
      </c>
      <c r="B83" s="9" t="s">
        <v>662</v>
      </c>
      <c r="C83" s="9" t="s">
        <v>661</v>
      </c>
      <c r="D83" s="9" t="s">
        <v>844</v>
      </c>
      <c r="E83" s="9" t="n">
        <v>2</v>
      </c>
      <c r="F83" s="23"/>
      <c r="G83" s="9" t="s">
        <v>708</v>
      </c>
      <c r="H83" s="9" t="s">
        <v>680</v>
      </c>
      <c r="I83" s="9" t="s">
        <v>681</v>
      </c>
      <c r="J83" s="9" t="s">
        <v>708</v>
      </c>
      <c r="K83" s="24" t="n">
        <v>0.95</v>
      </c>
      <c r="L83" s="9" t="str">
        <f aca="false">IF(K83&lt;Decision_Rules!$C$5,"Human confirm","Auto")</f>
        <v>Auto</v>
      </c>
      <c r="M83" s="9" t="n">
        <f aca="false">IF(G83=J83,1,0)</f>
        <v>1</v>
      </c>
    </row>
  </sheetData>
  <autoFilter ref="A4:M83"/>
  <mergeCells count="1">
    <mergeCell ref="A1:M1"/>
  </mergeCells>
  <dataValidations count="1">
    <dataValidation allowBlank="false" errorStyle="stop" operator="between" showDropDown="false" showErrorMessage="false" showInputMessage="false" sqref="G5:G83" type="list">
      <formula1>"Packing List,Commercial Invoice,Certificate of Origin,Bill of Entry,Not Relevant"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AC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4" min="4" style="0" width="6"/>
    <col collapsed="false" customWidth="true" hidden="false" outlineLevel="0" max="5" min="5" style="0" width="11"/>
    <col collapsed="false" customWidth="true" hidden="false" outlineLevel="0" max="6" min="6" style="0" width="32"/>
    <col collapsed="false" customWidth="true" hidden="false" outlineLevel="0" max="7" min="7" style="0" width="9"/>
    <col collapsed="false" customWidth="true" hidden="false" outlineLevel="0" max="8" min="8" style="0" width="8"/>
    <col collapsed="false" customWidth="true" hidden="false" outlineLevel="0" max="9" min="9" style="0" width="10"/>
    <col collapsed="false" customWidth="true" hidden="false" outlineLevel="0" max="10" min="10" style="0" width="11"/>
    <col collapsed="false" customWidth="true" hidden="false" outlineLevel="0" max="12" min="11" style="0" width="10"/>
    <col collapsed="false" customWidth="true" hidden="false" outlineLevel="0" max="13" min="13" style="0" width="12"/>
    <col collapsed="false" customWidth="true" hidden="false" outlineLevel="0" max="14" min="14" style="0" width="20"/>
    <col collapsed="false" customWidth="true" hidden="false" outlineLevel="0" max="15" min="15" style="0" width="10"/>
    <col collapsed="false" customWidth="true" hidden="false" outlineLevel="0" max="16" min="16" style="0" width="13"/>
    <col collapsed="false" customWidth="true" hidden="false" outlineLevel="0" max="17" min="17" style="0" width="34"/>
    <col collapsed="false" customWidth="true" hidden="false" outlineLevel="0" max="18" min="18" style="0" width="10"/>
    <col collapsed="false" customWidth="true" hidden="false" outlineLevel="0" max="19" min="19" style="0" width="12"/>
    <col collapsed="false" customWidth="true" hidden="false" outlineLevel="0" max="20" min="20" style="0" width="20"/>
    <col collapsed="false" customWidth="true" hidden="false" outlineLevel="0" max="21" min="21" style="0" width="10"/>
    <col collapsed="false" customWidth="true" hidden="false" outlineLevel="0" max="22" min="22" style="0" width="11"/>
    <col collapsed="false" customWidth="true" hidden="false" outlineLevel="0" max="23" min="23" style="0" width="13"/>
    <col collapsed="false" customWidth="true" hidden="false" outlineLevel="0" max="24" min="24" style="0" width="22"/>
    <col collapsed="false" customWidth="true" hidden="false" outlineLevel="0" max="25" min="25" style="0" width="52"/>
    <col collapsed="false" customWidth="true" hidden="false" outlineLevel="0" max="29" min="26" style="0" width="10"/>
  </cols>
  <sheetData>
    <row r="1" customFormat="false" ht="15" hidden="false" customHeight="fals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row>
    <row r="2" customFormat="false" ht="17.35" hidden="false" customHeight="false" outlineLevel="0" collapsed="false">
      <c r="A2" s="2" t="s">
        <v>845</v>
      </c>
    </row>
    <row r="3" customFormat="false" ht="15" hidden="false" customHeight="false" outlineLevel="0" collapsed="false">
      <c r="A3" s="3" t="s">
        <v>14</v>
      </c>
      <c r="AC3" s="26" t="s">
        <v>846</v>
      </c>
    </row>
    <row r="4" customFormat="false" ht="31.5" hidden="false" customHeight="true" outlineLevel="0" collapsed="false">
      <c r="A4" s="19" t="s">
        <v>847</v>
      </c>
      <c r="B4" s="19" t="s">
        <v>478</v>
      </c>
      <c r="C4" s="19" t="s">
        <v>848</v>
      </c>
      <c r="D4" s="19" t="s">
        <v>849</v>
      </c>
      <c r="E4" s="19" t="s">
        <v>850</v>
      </c>
      <c r="F4" s="19" t="s">
        <v>851</v>
      </c>
      <c r="G4" s="19" t="s">
        <v>852</v>
      </c>
      <c r="H4" s="19" t="s">
        <v>853</v>
      </c>
      <c r="I4" s="19" t="s">
        <v>210</v>
      </c>
      <c r="J4" s="19" t="s">
        <v>211</v>
      </c>
      <c r="K4" s="19" t="s">
        <v>854</v>
      </c>
      <c r="L4" s="19" t="s">
        <v>855</v>
      </c>
      <c r="M4" s="20" t="s">
        <v>856</v>
      </c>
      <c r="N4" s="20" t="s">
        <v>857</v>
      </c>
      <c r="O4" s="20" t="s">
        <v>858</v>
      </c>
      <c r="P4" s="20" t="s">
        <v>859</v>
      </c>
      <c r="Q4" s="20" t="s">
        <v>860</v>
      </c>
      <c r="R4" s="21" t="s">
        <v>861</v>
      </c>
      <c r="S4" s="21" t="s">
        <v>862</v>
      </c>
      <c r="T4" s="21" t="s">
        <v>863</v>
      </c>
      <c r="U4" s="21" t="s">
        <v>864</v>
      </c>
      <c r="V4" s="21" t="s">
        <v>865</v>
      </c>
      <c r="W4" s="21" t="s">
        <v>866</v>
      </c>
      <c r="X4" s="21" t="s">
        <v>867</v>
      </c>
      <c r="Y4" s="21" t="s">
        <v>868</v>
      </c>
      <c r="Z4" s="22" t="s">
        <v>869</v>
      </c>
      <c r="AA4" s="22" t="s">
        <v>870</v>
      </c>
      <c r="AB4" s="22" t="s">
        <v>871</v>
      </c>
      <c r="AC4" s="22" t="s">
        <v>872</v>
      </c>
    </row>
    <row r="5" customFormat="false" ht="15" hidden="false" customHeight="false" outlineLevel="0" collapsed="false">
      <c r="A5" s="9" t="s">
        <v>873</v>
      </c>
      <c r="B5" s="9" t="s">
        <v>489</v>
      </c>
      <c r="C5" s="9" t="s">
        <v>677</v>
      </c>
      <c r="D5" s="9" t="n">
        <v>1</v>
      </c>
      <c r="E5" s="9" t="s">
        <v>232</v>
      </c>
      <c r="F5" s="9" t="s">
        <v>233</v>
      </c>
      <c r="G5" s="10" t="n">
        <v>600</v>
      </c>
      <c r="H5" s="9" t="s">
        <v>220</v>
      </c>
      <c r="I5" s="9" t="s">
        <v>234</v>
      </c>
      <c r="J5" s="9" t="s">
        <v>222</v>
      </c>
      <c r="K5" s="23" t="n">
        <v>330</v>
      </c>
      <c r="L5" s="10" t="n">
        <v>600</v>
      </c>
      <c r="M5" s="9" t="s">
        <v>86</v>
      </c>
      <c r="N5" s="9" t="s">
        <v>232</v>
      </c>
      <c r="O5" s="9" t="s">
        <v>220</v>
      </c>
      <c r="P5" s="9" t="s">
        <v>874</v>
      </c>
      <c r="Q5" s="9" t="s">
        <v>875</v>
      </c>
      <c r="R5" s="10" t="n">
        <v>600</v>
      </c>
      <c r="S5" s="9" t="s">
        <v>86</v>
      </c>
      <c r="T5" s="9" t="s">
        <v>232</v>
      </c>
      <c r="U5" s="9" t="s">
        <v>220</v>
      </c>
      <c r="V5" s="24" t="n">
        <v>0.95</v>
      </c>
      <c r="W5" s="9" t="s">
        <v>874</v>
      </c>
      <c r="X5" s="9" t="str">
        <f aca="false">IF(S5="New","Human approval (new SKU)",IF(OR(S5&lt;&gt;"Existing",W5&lt;&gt;"Valid",V5&lt;Decision_Rules!$C$6),"Human review","Auto-processed"))</f>
        <v>Auto-processed</v>
      </c>
      <c r="Y5" s="5" t="s">
        <v>876</v>
      </c>
      <c r="Z5" s="9" t="n">
        <f aca="false">IF(M5=S5,1,0)</f>
        <v>1</v>
      </c>
      <c r="AA5" s="9" t="n">
        <f aca="false">IF(P5=W5,1,0)</f>
        <v>1</v>
      </c>
      <c r="AB5" s="9" t="n">
        <f aca="false">IF(O5=U5,1,0)</f>
        <v>1</v>
      </c>
      <c r="AC5" s="27" t="n">
        <v>1</v>
      </c>
    </row>
    <row r="6" customFormat="false" ht="15" hidden="false" customHeight="false" outlineLevel="0" collapsed="false">
      <c r="A6" s="9" t="s">
        <v>877</v>
      </c>
      <c r="B6" s="9" t="s">
        <v>489</v>
      </c>
      <c r="C6" s="9" t="s">
        <v>677</v>
      </c>
      <c r="D6" s="9" t="n">
        <v>2</v>
      </c>
      <c r="E6" s="9" t="s">
        <v>269</v>
      </c>
      <c r="F6" s="9" t="s">
        <v>270</v>
      </c>
      <c r="G6" s="10" t="n">
        <v>150</v>
      </c>
      <c r="H6" s="9" t="s">
        <v>220</v>
      </c>
      <c r="I6" s="9" t="s">
        <v>271</v>
      </c>
      <c r="J6" s="9" t="s">
        <v>222</v>
      </c>
      <c r="K6" s="23" t="n">
        <v>45</v>
      </c>
      <c r="L6" s="10" t="n">
        <v>150</v>
      </c>
      <c r="M6" s="9" t="s">
        <v>86</v>
      </c>
      <c r="N6" s="9" t="s">
        <v>269</v>
      </c>
      <c r="O6" s="9" t="s">
        <v>220</v>
      </c>
      <c r="P6" s="9" t="s">
        <v>874</v>
      </c>
      <c r="Q6" s="9" t="s">
        <v>875</v>
      </c>
      <c r="R6" s="10" t="n">
        <v>150</v>
      </c>
      <c r="S6" s="9" t="s">
        <v>86</v>
      </c>
      <c r="T6" s="9" t="s">
        <v>269</v>
      </c>
      <c r="U6" s="9" t="s">
        <v>220</v>
      </c>
      <c r="V6" s="24" t="n">
        <v>0.99</v>
      </c>
      <c r="W6" s="9" t="s">
        <v>874</v>
      </c>
      <c r="X6" s="9" t="str">
        <f aca="false">IF(S6="New","Human approval (new SKU)",IF(OR(S6&lt;&gt;"Existing",W6&lt;&gt;"Valid",V6&lt;Decision_Rules!$C$6),"Human review","Auto-processed"))</f>
        <v>Auto-processed</v>
      </c>
      <c r="Y6" s="5" t="s">
        <v>876</v>
      </c>
      <c r="Z6" s="9" t="n">
        <f aca="false">IF(M6=S6,1,0)</f>
        <v>1</v>
      </c>
      <c r="AA6" s="9" t="n">
        <f aca="false">IF(P6=W6,1,0)</f>
        <v>1</v>
      </c>
      <c r="AB6" s="9" t="n">
        <f aca="false">IF(O6=U6,1,0)</f>
        <v>1</v>
      </c>
      <c r="AC6" s="27" t="n">
        <v>1</v>
      </c>
    </row>
    <row r="7" customFormat="false" ht="15" hidden="false" customHeight="false" outlineLevel="0" collapsed="false">
      <c r="A7" s="9" t="s">
        <v>878</v>
      </c>
      <c r="B7" s="9" t="s">
        <v>489</v>
      </c>
      <c r="C7" s="9" t="s">
        <v>677</v>
      </c>
      <c r="D7" s="9" t="n">
        <v>3</v>
      </c>
      <c r="E7" s="9" t="s">
        <v>245</v>
      </c>
      <c r="F7" s="9" t="s">
        <v>246</v>
      </c>
      <c r="G7" s="10" t="n">
        <v>500</v>
      </c>
      <c r="H7" s="9" t="s">
        <v>220</v>
      </c>
      <c r="I7" s="9" t="s">
        <v>247</v>
      </c>
      <c r="J7" s="9" t="s">
        <v>222</v>
      </c>
      <c r="K7" s="23" t="n">
        <v>450</v>
      </c>
      <c r="L7" s="10" t="n">
        <v>500</v>
      </c>
      <c r="M7" s="9" t="s">
        <v>86</v>
      </c>
      <c r="N7" s="9" t="s">
        <v>245</v>
      </c>
      <c r="O7" s="9" t="s">
        <v>220</v>
      </c>
      <c r="P7" s="9" t="s">
        <v>874</v>
      </c>
      <c r="Q7" s="9" t="s">
        <v>875</v>
      </c>
      <c r="R7" s="10" t="n">
        <v>500</v>
      </c>
      <c r="S7" s="9" t="s">
        <v>86</v>
      </c>
      <c r="T7" s="9" t="s">
        <v>245</v>
      </c>
      <c r="U7" s="9" t="s">
        <v>220</v>
      </c>
      <c r="V7" s="24" t="n">
        <v>0.95</v>
      </c>
      <c r="W7" s="9" t="s">
        <v>874</v>
      </c>
      <c r="X7" s="9" t="str">
        <f aca="false">IF(S7="New","Human approval (new SKU)",IF(OR(S7&lt;&gt;"Existing",W7&lt;&gt;"Valid",V7&lt;Decision_Rules!$C$6),"Human review","Auto-processed"))</f>
        <v>Auto-processed</v>
      </c>
      <c r="Y7" s="5" t="s">
        <v>876</v>
      </c>
      <c r="Z7" s="9" t="n">
        <f aca="false">IF(M7=S7,1,0)</f>
        <v>1</v>
      </c>
      <c r="AA7" s="9" t="n">
        <f aca="false">IF(P7=W7,1,0)</f>
        <v>1</v>
      </c>
      <c r="AB7" s="9" t="n">
        <f aca="false">IF(O7=U7,1,0)</f>
        <v>1</v>
      </c>
      <c r="AC7" s="27" t="n">
        <v>1</v>
      </c>
    </row>
    <row r="8" customFormat="false" ht="15" hidden="false" customHeight="false" outlineLevel="0" collapsed="false">
      <c r="A8" s="9" t="s">
        <v>879</v>
      </c>
      <c r="B8" s="9" t="s">
        <v>489</v>
      </c>
      <c r="C8" s="9" t="s">
        <v>677</v>
      </c>
      <c r="D8" s="9" t="n">
        <v>4</v>
      </c>
      <c r="E8" s="9" t="s">
        <v>235</v>
      </c>
      <c r="F8" s="9" t="s">
        <v>236</v>
      </c>
      <c r="G8" s="10" t="n">
        <v>1000</v>
      </c>
      <c r="H8" s="9" t="s">
        <v>220</v>
      </c>
      <c r="I8" s="9" t="s">
        <v>237</v>
      </c>
      <c r="J8" s="9" t="s">
        <v>222</v>
      </c>
      <c r="K8" s="23" t="n">
        <v>120</v>
      </c>
      <c r="L8" s="10" t="n">
        <v>1000</v>
      </c>
      <c r="M8" s="9" t="s">
        <v>86</v>
      </c>
      <c r="N8" s="9" t="s">
        <v>235</v>
      </c>
      <c r="O8" s="9" t="s">
        <v>220</v>
      </c>
      <c r="P8" s="9" t="s">
        <v>874</v>
      </c>
      <c r="Q8" s="9" t="s">
        <v>875</v>
      </c>
      <c r="R8" s="10" t="n">
        <v>1000</v>
      </c>
      <c r="S8" s="9" t="s">
        <v>86</v>
      </c>
      <c r="T8" s="9" t="s">
        <v>235</v>
      </c>
      <c r="U8" s="9" t="s">
        <v>220</v>
      </c>
      <c r="V8" s="24" t="n">
        <v>0.98</v>
      </c>
      <c r="W8" s="9" t="s">
        <v>874</v>
      </c>
      <c r="X8" s="9" t="str">
        <f aca="false">IF(S8="New","Human approval (new SKU)",IF(OR(S8&lt;&gt;"Existing",W8&lt;&gt;"Valid",V8&lt;Decision_Rules!$C$6),"Human review","Auto-processed"))</f>
        <v>Auto-processed</v>
      </c>
      <c r="Y8" s="5" t="s">
        <v>876</v>
      </c>
      <c r="Z8" s="9" t="n">
        <f aca="false">IF(M8=S8,1,0)</f>
        <v>1</v>
      </c>
      <c r="AA8" s="9" t="n">
        <f aca="false">IF(P8=W8,1,0)</f>
        <v>1</v>
      </c>
      <c r="AB8" s="9" t="n">
        <f aca="false">IF(O8=U8,1,0)</f>
        <v>1</v>
      </c>
      <c r="AC8" s="27" t="n">
        <v>1</v>
      </c>
    </row>
    <row r="9" customFormat="false" ht="15" hidden="false" customHeight="false" outlineLevel="0" collapsed="false">
      <c r="A9" s="9" t="s">
        <v>880</v>
      </c>
      <c r="B9" s="9" t="s">
        <v>497</v>
      </c>
      <c r="C9" s="9" t="s">
        <v>688</v>
      </c>
      <c r="D9" s="9" t="n">
        <v>1</v>
      </c>
      <c r="E9" s="9" t="s">
        <v>383</v>
      </c>
      <c r="F9" s="9" t="s">
        <v>384</v>
      </c>
      <c r="G9" s="10" t="n">
        <v>240</v>
      </c>
      <c r="H9" s="9" t="s">
        <v>326</v>
      </c>
      <c r="I9" s="9" t="s">
        <v>382</v>
      </c>
      <c r="J9" s="9" t="s">
        <v>374</v>
      </c>
      <c r="K9" s="23" t="n">
        <v>2448</v>
      </c>
      <c r="L9" s="10" t="n">
        <v>240</v>
      </c>
      <c r="M9" s="9" t="s">
        <v>86</v>
      </c>
      <c r="N9" s="9" t="s">
        <v>383</v>
      </c>
      <c r="O9" s="9" t="s">
        <v>326</v>
      </c>
      <c r="P9" s="9" t="s">
        <v>874</v>
      </c>
      <c r="Q9" s="9" t="s">
        <v>875</v>
      </c>
      <c r="R9" s="10" t="n">
        <v>240</v>
      </c>
      <c r="S9" s="9" t="s">
        <v>86</v>
      </c>
      <c r="T9" s="9" t="s">
        <v>383</v>
      </c>
      <c r="U9" s="9" t="s">
        <v>326</v>
      </c>
      <c r="V9" s="24" t="n">
        <v>0.99</v>
      </c>
      <c r="W9" s="9" t="s">
        <v>874</v>
      </c>
      <c r="X9" s="9" t="str">
        <f aca="false">IF(S9="New","Human approval (new SKU)",IF(OR(S9&lt;&gt;"Existing",W9&lt;&gt;"Valid",V9&lt;Decision_Rules!$C$6),"Human review","Auto-processed"))</f>
        <v>Auto-processed</v>
      </c>
      <c r="Y9" s="5" t="s">
        <v>876</v>
      </c>
      <c r="Z9" s="9" t="n">
        <f aca="false">IF(M9=S9,1,0)</f>
        <v>1</v>
      </c>
      <c r="AA9" s="9" t="n">
        <f aca="false">IF(P9=W9,1,0)</f>
        <v>1</v>
      </c>
      <c r="AB9" s="9" t="n">
        <f aca="false">IF(O9=U9,1,0)</f>
        <v>1</v>
      </c>
      <c r="AC9" s="27" t="n">
        <v>1</v>
      </c>
    </row>
    <row r="10" customFormat="false" ht="15" hidden="false" customHeight="false" outlineLevel="0" collapsed="false">
      <c r="A10" s="9" t="s">
        <v>881</v>
      </c>
      <c r="B10" s="9" t="s">
        <v>497</v>
      </c>
      <c r="C10" s="9" t="s">
        <v>688</v>
      </c>
      <c r="D10" s="9" t="n">
        <v>2</v>
      </c>
      <c r="E10" s="9" t="s">
        <v>405</v>
      </c>
      <c r="F10" s="9" t="s">
        <v>406</v>
      </c>
      <c r="G10" s="10" t="n">
        <v>200</v>
      </c>
      <c r="H10" s="9" t="s">
        <v>220</v>
      </c>
      <c r="I10" s="9" t="s">
        <v>407</v>
      </c>
      <c r="J10" s="9" t="s">
        <v>374</v>
      </c>
      <c r="K10" s="23" t="n">
        <v>60</v>
      </c>
      <c r="L10" s="10" t="n">
        <v>200</v>
      </c>
      <c r="M10" s="9" t="s">
        <v>86</v>
      </c>
      <c r="N10" s="9" t="s">
        <v>405</v>
      </c>
      <c r="O10" s="9" t="s">
        <v>220</v>
      </c>
      <c r="P10" s="9" t="s">
        <v>874</v>
      </c>
      <c r="Q10" s="9" t="s">
        <v>875</v>
      </c>
      <c r="R10" s="10" t="n">
        <v>200</v>
      </c>
      <c r="S10" s="9" t="s">
        <v>86</v>
      </c>
      <c r="T10" s="9" t="s">
        <v>405</v>
      </c>
      <c r="U10" s="9" t="s">
        <v>220</v>
      </c>
      <c r="V10" s="24" t="n">
        <v>0.99</v>
      </c>
      <c r="W10" s="9" t="s">
        <v>874</v>
      </c>
      <c r="X10" s="9" t="str">
        <f aca="false">IF(S10="New","Human approval (new SKU)",IF(OR(S10&lt;&gt;"Existing",W10&lt;&gt;"Valid",V10&lt;Decision_Rules!$C$6),"Human review","Auto-processed"))</f>
        <v>Auto-processed</v>
      </c>
      <c r="Y10" s="5" t="s">
        <v>876</v>
      </c>
      <c r="Z10" s="9" t="n">
        <f aca="false">IF(M10=S10,1,0)</f>
        <v>1</v>
      </c>
      <c r="AA10" s="9" t="n">
        <f aca="false">IF(P10=W10,1,0)</f>
        <v>1</v>
      </c>
      <c r="AB10" s="9" t="n">
        <f aca="false">IF(O10=U10,1,0)</f>
        <v>1</v>
      </c>
      <c r="AC10" s="27" t="n">
        <v>1</v>
      </c>
    </row>
    <row r="11" customFormat="false" ht="15" hidden="false" customHeight="false" outlineLevel="0" collapsed="false">
      <c r="A11" s="9" t="s">
        <v>882</v>
      </c>
      <c r="B11" s="9" t="s">
        <v>497</v>
      </c>
      <c r="C11" s="9" t="s">
        <v>688</v>
      </c>
      <c r="D11" s="9" t="n">
        <v>3</v>
      </c>
      <c r="E11" s="9" t="s">
        <v>391</v>
      </c>
      <c r="F11" s="9" t="s">
        <v>392</v>
      </c>
      <c r="G11" s="10" t="n">
        <v>100</v>
      </c>
      <c r="H11" s="9" t="s">
        <v>220</v>
      </c>
      <c r="I11" s="9" t="s">
        <v>393</v>
      </c>
      <c r="J11" s="9" t="s">
        <v>374</v>
      </c>
      <c r="K11" s="23" t="n">
        <v>40</v>
      </c>
      <c r="L11" s="10" t="n">
        <v>100</v>
      </c>
      <c r="M11" s="9" t="s">
        <v>86</v>
      </c>
      <c r="N11" s="9" t="s">
        <v>391</v>
      </c>
      <c r="O11" s="9" t="s">
        <v>220</v>
      </c>
      <c r="P11" s="9" t="s">
        <v>874</v>
      </c>
      <c r="Q11" s="9" t="s">
        <v>875</v>
      </c>
      <c r="R11" s="10" t="n">
        <v>100</v>
      </c>
      <c r="S11" s="9" t="s">
        <v>86</v>
      </c>
      <c r="T11" s="9" t="s">
        <v>391</v>
      </c>
      <c r="U11" s="9" t="s">
        <v>220</v>
      </c>
      <c r="V11" s="24" t="n">
        <v>0.98</v>
      </c>
      <c r="W11" s="9" t="s">
        <v>874</v>
      </c>
      <c r="X11" s="9" t="str">
        <f aca="false">IF(S11="New","Human approval (new SKU)",IF(OR(S11&lt;&gt;"Existing",W11&lt;&gt;"Valid",V11&lt;Decision_Rules!$C$6),"Human review","Auto-processed"))</f>
        <v>Auto-processed</v>
      </c>
      <c r="Y11" s="5" t="s">
        <v>876</v>
      </c>
      <c r="Z11" s="9" t="n">
        <f aca="false">IF(M11=S11,1,0)</f>
        <v>1</v>
      </c>
      <c r="AA11" s="9" t="n">
        <f aca="false">IF(P11=W11,1,0)</f>
        <v>1</v>
      </c>
      <c r="AB11" s="9" t="n">
        <f aca="false">IF(O11=U11,1,0)</f>
        <v>1</v>
      </c>
      <c r="AC11" s="27" t="n">
        <v>1</v>
      </c>
    </row>
    <row r="12" customFormat="false" ht="22.35" hidden="false" customHeight="false" outlineLevel="0" collapsed="false">
      <c r="A12" s="9" t="s">
        <v>883</v>
      </c>
      <c r="B12" s="9" t="s">
        <v>504</v>
      </c>
      <c r="C12" s="9" t="s">
        <v>692</v>
      </c>
      <c r="D12" s="9" t="n">
        <v>1</v>
      </c>
      <c r="E12" s="9" t="s">
        <v>272</v>
      </c>
      <c r="F12" s="9" t="s">
        <v>273</v>
      </c>
      <c r="G12" s="10" t="n">
        <v>200</v>
      </c>
      <c r="H12" s="9" t="s">
        <v>884</v>
      </c>
      <c r="I12" s="9" t="s">
        <v>275</v>
      </c>
      <c r="J12" s="9" t="s">
        <v>251</v>
      </c>
      <c r="K12" s="23" t="n">
        <v>10</v>
      </c>
      <c r="L12" s="10" t="n">
        <v>200</v>
      </c>
      <c r="M12" s="9" t="s">
        <v>86</v>
      </c>
      <c r="N12" s="9" t="s">
        <v>272</v>
      </c>
      <c r="O12" s="9" t="s">
        <v>220</v>
      </c>
      <c r="P12" s="9" t="s">
        <v>874</v>
      </c>
      <c r="Q12" s="9" t="s">
        <v>885</v>
      </c>
      <c r="R12" s="28" t="n">
        <v>200</v>
      </c>
      <c r="S12" s="9" t="s">
        <v>86</v>
      </c>
      <c r="T12" s="9" t="s">
        <v>272</v>
      </c>
      <c r="U12" s="9" t="s">
        <v>220</v>
      </c>
      <c r="V12" s="24" t="n">
        <v>0.98</v>
      </c>
      <c r="W12" s="9" t="s">
        <v>874</v>
      </c>
      <c r="X12" s="9" t="str">
        <f aca="false">IF(S12="New","Human approval (new SKU)",IF(OR(S12&lt;&gt;"Existing",W12&lt;&gt;"Valid",V12&lt;Decision_Rules!$C$6),"Human review","Auto-processed"))</f>
        <v>Auto-processed</v>
      </c>
      <c r="Y12" s="5" t="s">
        <v>886</v>
      </c>
      <c r="Z12" s="9" t="n">
        <f aca="false">IF(M12=S12,1,0)</f>
        <v>1</v>
      </c>
      <c r="AA12" s="9" t="n">
        <f aca="false">IF(P12=W12,1,0)</f>
        <v>1</v>
      </c>
      <c r="AB12" s="9" t="n">
        <f aca="false">IF(O12=U12,1,0)</f>
        <v>1</v>
      </c>
      <c r="AC12" s="27" t="n">
        <v>0</v>
      </c>
    </row>
    <row r="13" customFormat="false" ht="15" hidden="false" customHeight="false" outlineLevel="0" collapsed="false">
      <c r="A13" s="9" t="s">
        <v>887</v>
      </c>
      <c r="B13" s="9" t="s">
        <v>504</v>
      </c>
      <c r="C13" s="9" t="s">
        <v>692</v>
      </c>
      <c r="D13" s="9" t="n">
        <v>2</v>
      </c>
      <c r="E13" s="9" t="s">
        <v>248</v>
      </c>
      <c r="F13" s="9" t="s">
        <v>249</v>
      </c>
      <c r="G13" s="10" t="n">
        <v>500</v>
      </c>
      <c r="H13" s="9" t="s">
        <v>884</v>
      </c>
      <c r="I13" s="9" t="s">
        <v>250</v>
      </c>
      <c r="J13" s="9" t="s">
        <v>251</v>
      </c>
      <c r="K13" s="23" t="n">
        <v>125</v>
      </c>
      <c r="L13" s="10" t="n">
        <v>500</v>
      </c>
      <c r="M13" s="9" t="s">
        <v>86</v>
      </c>
      <c r="N13" s="9" t="s">
        <v>248</v>
      </c>
      <c r="O13" s="9" t="s">
        <v>220</v>
      </c>
      <c r="P13" s="9" t="s">
        <v>874</v>
      </c>
      <c r="Q13" s="9" t="s">
        <v>885</v>
      </c>
      <c r="R13" s="10" t="n">
        <v>500</v>
      </c>
      <c r="S13" s="9" t="s">
        <v>86</v>
      </c>
      <c r="T13" s="9" t="s">
        <v>248</v>
      </c>
      <c r="U13" s="9" t="s">
        <v>220</v>
      </c>
      <c r="V13" s="24" t="n">
        <v>0.99</v>
      </c>
      <c r="W13" s="9" t="s">
        <v>874</v>
      </c>
      <c r="X13" s="9" t="str">
        <f aca="false">IF(S13="New","Human approval (new SKU)",IF(OR(S13&lt;&gt;"Existing",W13&lt;&gt;"Valid",V13&lt;Decision_Rules!$C$6),"Human review","Auto-processed"))</f>
        <v>Auto-processed</v>
      </c>
      <c r="Y13" s="5" t="s">
        <v>888</v>
      </c>
      <c r="Z13" s="9" t="n">
        <f aca="false">IF(M13=S13,1,0)</f>
        <v>1</v>
      </c>
      <c r="AA13" s="9" t="n">
        <f aca="false">IF(P13=W13,1,0)</f>
        <v>1</v>
      </c>
      <c r="AB13" s="9" t="n">
        <f aca="false">IF(O13=U13,1,0)</f>
        <v>1</v>
      </c>
      <c r="AC13" s="27" t="n">
        <v>1</v>
      </c>
    </row>
    <row r="14" customFormat="false" ht="15" hidden="false" customHeight="false" outlineLevel="0" collapsed="false">
      <c r="A14" s="9" t="s">
        <v>889</v>
      </c>
      <c r="B14" s="9" t="s">
        <v>504</v>
      </c>
      <c r="C14" s="9" t="s">
        <v>692</v>
      </c>
      <c r="D14" s="9" t="n">
        <v>3</v>
      </c>
      <c r="E14" s="9" t="s">
        <v>261</v>
      </c>
      <c r="F14" s="9" t="s">
        <v>262</v>
      </c>
      <c r="G14" s="10" t="n">
        <v>400</v>
      </c>
      <c r="H14" s="9" t="s">
        <v>884</v>
      </c>
      <c r="I14" s="9" t="s">
        <v>260</v>
      </c>
      <c r="J14" s="9" t="s">
        <v>251</v>
      </c>
      <c r="K14" s="23" t="n">
        <v>40</v>
      </c>
      <c r="L14" s="10" t="n">
        <v>400</v>
      </c>
      <c r="M14" s="9" t="s">
        <v>86</v>
      </c>
      <c r="N14" s="9" t="s">
        <v>261</v>
      </c>
      <c r="O14" s="9" t="s">
        <v>220</v>
      </c>
      <c r="P14" s="9" t="s">
        <v>874</v>
      </c>
      <c r="Q14" s="9" t="s">
        <v>885</v>
      </c>
      <c r="R14" s="10" t="n">
        <v>400</v>
      </c>
      <c r="S14" s="9" t="s">
        <v>86</v>
      </c>
      <c r="T14" s="9" t="s">
        <v>261</v>
      </c>
      <c r="U14" s="9" t="s">
        <v>220</v>
      </c>
      <c r="V14" s="24" t="n">
        <v>0.97</v>
      </c>
      <c r="W14" s="9" t="s">
        <v>874</v>
      </c>
      <c r="X14" s="9" t="str">
        <f aca="false">IF(S14="New","Human approval (new SKU)",IF(OR(S14&lt;&gt;"Existing",W14&lt;&gt;"Valid",V14&lt;Decision_Rules!$C$6),"Human review","Auto-processed"))</f>
        <v>Auto-processed</v>
      </c>
      <c r="Y14" s="5" t="s">
        <v>888</v>
      </c>
      <c r="Z14" s="9" t="n">
        <f aca="false">IF(M14=S14,1,0)</f>
        <v>1</v>
      </c>
      <c r="AA14" s="9" t="n">
        <f aca="false">IF(P14=W14,1,0)</f>
        <v>1</v>
      </c>
      <c r="AB14" s="9" t="n">
        <f aca="false">IF(O14=U14,1,0)</f>
        <v>1</v>
      </c>
      <c r="AC14" s="27" t="n">
        <v>1</v>
      </c>
    </row>
    <row r="15" customFormat="false" ht="15" hidden="false" customHeight="false" outlineLevel="0" collapsed="false">
      <c r="A15" s="9" t="s">
        <v>890</v>
      </c>
      <c r="B15" s="9" t="s">
        <v>511</v>
      </c>
      <c r="C15" s="9" t="s">
        <v>696</v>
      </c>
      <c r="D15" s="9" t="n">
        <v>1</v>
      </c>
      <c r="E15" s="9" t="s">
        <v>217</v>
      </c>
      <c r="F15" s="9" t="s">
        <v>218</v>
      </c>
      <c r="G15" s="10" t="n">
        <v>100</v>
      </c>
      <c r="H15" s="9" t="s">
        <v>220</v>
      </c>
      <c r="I15" s="9" t="s">
        <v>221</v>
      </c>
      <c r="J15" s="9" t="s">
        <v>222</v>
      </c>
      <c r="K15" s="23" t="n">
        <v>120</v>
      </c>
      <c r="L15" s="10" t="n">
        <v>100</v>
      </c>
      <c r="M15" s="9" t="s">
        <v>86</v>
      </c>
      <c r="N15" s="9" t="s">
        <v>217</v>
      </c>
      <c r="O15" s="9" t="s">
        <v>220</v>
      </c>
      <c r="P15" s="9" t="s">
        <v>874</v>
      </c>
      <c r="Q15" s="9" t="s">
        <v>875</v>
      </c>
      <c r="R15" s="10" t="n">
        <v>100</v>
      </c>
      <c r="S15" s="9" t="s">
        <v>86</v>
      </c>
      <c r="T15" s="9" t="s">
        <v>217</v>
      </c>
      <c r="U15" s="9" t="s">
        <v>220</v>
      </c>
      <c r="V15" s="24" t="n">
        <v>0.98</v>
      </c>
      <c r="W15" s="9" t="s">
        <v>874</v>
      </c>
      <c r="X15" s="9" t="str">
        <f aca="false">IF(S15="New","Human approval (new SKU)",IF(OR(S15&lt;&gt;"Existing",W15&lt;&gt;"Valid",V15&lt;Decision_Rules!$C$6),"Human review","Auto-processed"))</f>
        <v>Auto-processed</v>
      </c>
      <c r="Y15" s="5" t="s">
        <v>876</v>
      </c>
      <c r="Z15" s="9" t="n">
        <f aca="false">IF(M15=S15,1,0)</f>
        <v>1</v>
      </c>
      <c r="AA15" s="9" t="n">
        <f aca="false">IF(P15=W15,1,0)</f>
        <v>1</v>
      </c>
      <c r="AB15" s="9" t="n">
        <f aca="false">IF(O15=U15,1,0)</f>
        <v>1</v>
      </c>
      <c r="AC15" s="27" t="n">
        <v>1</v>
      </c>
    </row>
    <row r="16" customFormat="false" ht="15" hidden="false" customHeight="false" outlineLevel="0" collapsed="false">
      <c r="A16" s="9" t="s">
        <v>891</v>
      </c>
      <c r="B16" s="9" t="s">
        <v>511</v>
      </c>
      <c r="C16" s="9" t="s">
        <v>696</v>
      </c>
      <c r="D16" s="9" t="n">
        <v>2</v>
      </c>
      <c r="E16" s="9" t="s">
        <v>235</v>
      </c>
      <c r="F16" s="9" t="s">
        <v>892</v>
      </c>
      <c r="G16" s="10" t="n">
        <v>240</v>
      </c>
      <c r="H16" s="9" t="s">
        <v>220</v>
      </c>
      <c r="I16" s="9" t="s">
        <v>237</v>
      </c>
      <c r="J16" s="9" t="s">
        <v>222</v>
      </c>
      <c r="K16" s="23" t="n">
        <v>28.8</v>
      </c>
      <c r="L16" s="10" t="n">
        <v>240</v>
      </c>
      <c r="M16" s="9" t="s">
        <v>86</v>
      </c>
      <c r="N16" s="9" t="s">
        <v>235</v>
      </c>
      <c r="O16" s="9" t="s">
        <v>220</v>
      </c>
      <c r="P16" s="9" t="s">
        <v>874</v>
      </c>
      <c r="Q16" s="9" t="s">
        <v>893</v>
      </c>
      <c r="R16" s="10" t="n">
        <v>240</v>
      </c>
      <c r="S16" s="9" t="s">
        <v>86</v>
      </c>
      <c r="T16" s="9" t="s">
        <v>235</v>
      </c>
      <c r="U16" s="9" t="s">
        <v>220</v>
      </c>
      <c r="V16" s="24" t="n">
        <v>0.93</v>
      </c>
      <c r="W16" s="9" t="s">
        <v>874</v>
      </c>
      <c r="X16" s="9" t="str">
        <f aca="false">IF(S16="New","Human approval (new SKU)",IF(OR(S16&lt;&gt;"Existing",W16&lt;&gt;"Valid",V16&lt;Decision_Rules!$C$6),"Human review","Auto-processed"))</f>
        <v>Auto-processed</v>
      </c>
      <c r="Y16" s="5" t="s">
        <v>894</v>
      </c>
      <c r="Z16" s="9" t="n">
        <f aca="false">IF(M16=S16,1,0)</f>
        <v>1</v>
      </c>
      <c r="AA16" s="9" t="n">
        <f aca="false">IF(P16=W16,1,0)</f>
        <v>1</v>
      </c>
      <c r="AB16" s="9" t="n">
        <f aca="false">IF(O16=U16,1,0)</f>
        <v>1</v>
      </c>
      <c r="AC16" s="27" t="n">
        <v>1</v>
      </c>
    </row>
    <row r="17" customFormat="false" ht="15" hidden="false" customHeight="false" outlineLevel="0" collapsed="false">
      <c r="A17" s="9" t="s">
        <v>895</v>
      </c>
      <c r="B17" s="9" t="s">
        <v>511</v>
      </c>
      <c r="C17" s="9" t="s">
        <v>696</v>
      </c>
      <c r="D17" s="9" t="n">
        <v>3</v>
      </c>
      <c r="E17" s="9" t="s">
        <v>242</v>
      </c>
      <c r="F17" s="9" t="s">
        <v>243</v>
      </c>
      <c r="G17" s="10" t="n">
        <v>600</v>
      </c>
      <c r="H17" s="9" t="s">
        <v>220</v>
      </c>
      <c r="I17" s="9" t="s">
        <v>244</v>
      </c>
      <c r="J17" s="9" t="s">
        <v>222</v>
      </c>
      <c r="K17" s="23" t="n">
        <v>48</v>
      </c>
      <c r="L17" s="10" t="n">
        <v>600</v>
      </c>
      <c r="M17" s="9" t="s">
        <v>86</v>
      </c>
      <c r="N17" s="9" t="s">
        <v>242</v>
      </c>
      <c r="O17" s="9" t="s">
        <v>220</v>
      </c>
      <c r="P17" s="9" t="s">
        <v>874</v>
      </c>
      <c r="Q17" s="9" t="s">
        <v>875</v>
      </c>
      <c r="R17" s="10" t="n">
        <v>600</v>
      </c>
      <c r="S17" s="9" t="s">
        <v>86</v>
      </c>
      <c r="T17" s="9" t="s">
        <v>242</v>
      </c>
      <c r="U17" s="9" t="s">
        <v>220</v>
      </c>
      <c r="V17" s="24" t="n">
        <v>0.98</v>
      </c>
      <c r="W17" s="9" t="s">
        <v>874</v>
      </c>
      <c r="X17" s="9" t="str">
        <f aca="false">IF(S17="New","Human approval (new SKU)",IF(OR(S17&lt;&gt;"Existing",W17&lt;&gt;"Valid",V17&lt;Decision_Rules!$C$6),"Human review","Auto-processed"))</f>
        <v>Auto-processed</v>
      </c>
      <c r="Y17" s="5" t="s">
        <v>876</v>
      </c>
      <c r="Z17" s="9" t="n">
        <f aca="false">IF(M17=S17,1,0)</f>
        <v>1</v>
      </c>
      <c r="AA17" s="9" t="n">
        <f aca="false">IF(P17=W17,1,0)</f>
        <v>1</v>
      </c>
      <c r="AB17" s="9" t="n">
        <f aca="false">IF(O17=U17,1,0)</f>
        <v>1</v>
      </c>
      <c r="AC17" s="27" t="n">
        <v>1</v>
      </c>
    </row>
    <row r="18" customFormat="false" ht="15" hidden="false" customHeight="false" outlineLevel="0" collapsed="false">
      <c r="A18" s="9" t="s">
        <v>896</v>
      </c>
      <c r="B18" s="9" t="s">
        <v>517</v>
      </c>
      <c r="C18" s="9" t="s">
        <v>702</v>
      </c>
      <c r="D18" s="9" t="n">
        <v>1</v>
      </c>
      <c r="E18" s="9" t="s">
        <v>438</v>
      </c>
      <c r="F18" s="9" t="s">
        <v>439</v>
      </c>
      <c r="G18" s="10" t="n">
        <v>300</v>
      </c>
      <c r="H18" s="9" t="s">
        <v>220</v>
      </c>
      <c r="I18" s="9" t="s">
        <v>440</v>
      </c>
      <c r="J18" s="9" t="s">
        <v>374</v>
      </c>
      <c r="K18" s="23" t="n">
        <v>1515</v>
      </c>
      <c r="L18" s="10" t="n">
        <v>300</v>
      </c>
      <c r="M18" s="9" t="s">
        <v>86</v>
      </c>
      <c r="N18" s="9" t="s">
        <v>438</v>
      </c>
      <c r="O18" s="9" t="s">
        <v>220</v>
      </c>
      <c r="P18" s="9" t="s">
        <v>874</v>
      </c>
      <c r="Q18" s="9" t="s">
        <v>875</v>
      </c>
      <c r="R18" s="10" t="n">
        <v>300</v>
      </c>
      <c r="S18" s="9" t="s">
        <v>86</v>
      </c>
      <c r="T18" s="9" t="s">
        <v>438</v>
      </c>
      <c r="U18" s="9" t="s">
        <v>220</v>
      </c>
      <c r="V18" s="24" t="n">
        <v>0.99</v>
      </c>
      <c r="W18" s="9" t="s">
        <v>874</v>
      </c>
      <c r="X18" s="9" t="str">
        <f aca="false">IF(S18="New","Human approval (new SKU)",IF(OR(S18&lt;&gt;"Existing",W18&lt;&gt;"Valid",V18&lt;Decision_Rules!$C$6),"Human review","Auto-processed"))</f>
        <v>Auto-processed</v>
      </c>
      <c r="Y18" s="5" t="s">
        <v>876</v>
      </c>
      <c r="Z18" s="9" t="n">
        <f aca="false">IF(M18=S18,1,0)</f>
        <v>1</v>
      </c>
      <c r="AA18" s="9" t="n">
        <f aca="false">IF(P18=W18,1,0)</f>
        <v>1</v>
      </c>
      <c r="AB18" s="9" t="n">
        <f aca="false">IF(O18=U18,1,0)</f>
        <v>1</v>
      </c>
      <c r="AC18" s="27" t="n">
        <v>1</v>
      </c>
    </row>
    <row r="19" customFormat="false" ht="15" hidden="false" customHeight="false" outlineLevel="0" collapsed="false">
      <c r="A19" s="9" t="s">
        <v>897</v>
      </c>
      <c r="B19" s="9" t="s">
        <v>517</v>
      </c>
      <c r="C19" s="9" t="s">
        <v>702</v>
      </c>
      <c r="D19" s="9" t="n">
        <v>2</v>
      </c>
      <c r="E19" s="9" t="s">
        <v>463</v>
      </c>
      <c r="F19" s="9" t="s">
        <v>464</v>
      </c>
      <c r="G19" s="10" t="n">
        <v>400</v>
      </c>
      <c r="H19" s="9" t="s">
        <v>220</v>
      </c>
      <c r="I19" s="9" t="s">
        <v>465</v>
      </c>
      <c r="J19" s="9" t="s">
        <v>445</v>
      </c>
      <c r="K19" s="23" t="n">
        <v>260</v>
      </c>
      <c r="L19" s="10" t="n">
        <v>400</v>
      </c>
      <c r="M19" s="9" t="s">
        <v>86</v>
      </c>
      <c r="N19" s="9" t="s">
        <v>463</v>
      </c>
      <c r="O19" s="9" t="s">
        <v>220</v>
      </c>
      <c r="P19" s="9" t="s">
        <v>874</v>
      </c>
      <c r="Q19" s="9" t="s">
        <v>875</v>
      </c>
      <c r="R19" s="10" t="n">
        <v>400</v>
      </c>
      <c r="S19" s="9" t="s">
        <v>86</v>
      </c>
      <c r="T19" s="9" t="s">
        <v>463</v>
      </c>
      <c r="U19" s="9" t="s">
        <v>220</v>
      </c>
      <c r="V19" s="24" t="n">
        <v>0.97</v>
      </c>
      <c r="W19" s="9" t="s">
        <v>874</v>
      </c>
      <c r="X19" s="9" t="str">
        <f aca="false">IF(S19="New","Human approval (new SKU)",IF(OR(S19&lt;&gt;"Existing",W19&lt;&gt;"Valid",V19&lt;Decision_Rules!$C$6),"Human review","Auto-processed"))</f>
        <v>Auto-processed</v>
      </c>
      <c r="Y19" s="5" t="s">
        <v>876</v>
      </c>
      <c r="Z19" s="9" t="n">
        <f aca="false">IF(M19=S19,1,0)</f>
        <v>1</v>
      </c>
      <c r="AA19" s="9" t="n">
        <f aca="false">IF(P19=W19,1,0)</f>
        <v>1</v>
      </c>
      <c r="AB19" s="9" t="n">
        <f aca="false">IF(O19=U19,1,0)</f>
        <v>1</v>
      </c>
      <c r="AC19" s="27" t="n">
        <v>1</v>
      </c>
    </row>
    <row r="20" customFormat="false" ht="15" hidden="false" customHeight="false" outlineLevel="0" collapsed="false">
      <c r="A20" s="9" t="s">
        <v>898</v>
      </c>
      <c r="B20" s="9" t="s">
        <v>517</v>
      </c>
      <c r="C20" s="9" t="s">
        <v>702</v>
      </c>
      <c r="D20" s="9" t="n">
        <v>3</v>
      </c>
      <c r="E20" s="9" t="s">
        <v>457</v>
      </c>
      <c r="F20" s="9" t="s">
        <v>458</v>
      </c>
      <c r="G20" s="10" t="n">
        <v>150</v>
      </c>
      <c r="H20" s="9" t="s">
        <v>430</v>
      </c>
      <c r="I20" s="9" t="s">
        <v>459</v>
      </c>
      <c r="J20" s="9" t="s">
        <v>445</v>
      </c>
      <c r="K20" s="23" t="n">
        <v>1860</v>
      </c>
      <c r="L20" s="10" t="n">
        <v>150</v>
      </c>
      <c r="M20" s="9" t="s">
        <v>86</v>
      </c>
      <c r="N20" s="9" t="s">
        <v>457</v>
      </c>
      <c r="O20" s="9" t="s">
        <v>430</v>
      </c>
      <c r="P20" s="9" t="s">
        <v>874</v>
      </c>
      <c r="Q20" s="9" t="s">
        <v>875</v>
      </c>
      <c r="R20" s="10" t="n">
        <v>150</v>
      </c>
      <c r="S20" s="9" t="s">
        <v>86</v>
      </c>
      <c r="T20" s="9" t="s">
        <v>457</v>
      </c>
      <c r="U20" s="9" t="s">
        <v>430</v>
      </c>
      <c r="V20" s="24" t="n">
        <v>0.96</v>
      </c>
      <c r="W20" s="9" t="s">
        <v>874</v>
      </c>
      <c r="X20" s="9" t="str">
        <f aca="false">IF(S20="New","Human approval (new SKU)",IF(OR(S20&lt;&gt;"Existing",W20&lt;&gt;"Valid",V20&lt;Decision_Rules!$C$6),"Human review","Auto-processed"))</f>
        <v>Auto-processed</v>
      </c>
      <c r="Y20" s="5" t="s">
        <v>876</v>
      </c>
      <c r="Z20" s="9" t="n">
        <f aca="false">IF(M20=S20,1,0)</f>
        <v>1</v>
      </c>
      <c r="AA20" s="9" t="n">
        <f aca="false">IF(P20=W20,1,0)</f>
        <v>1</v>
      </c>
      <c r="AB20" s="9" t="n">
        <f aca="false">IF(O20=U20,1,0)</f>
        <v>1</v>
      </c>
      <c r="AC20" s="27" t="n">
        <v>1</v>
      </c>
    </row>
    <row r="21" customFormat="false" ht="15" hidden="false" customHeight="false" outlineLevel="0" collapsed="false">
      <c r="A21" s="9" t="s">
        <v>899</v>
      </c>
      <c r="B21" s="9" t="s">
        <v>517</v>
      </c>
      <c r="C21" s="9" t="s">
        <v>702</v>
      </c>
      <c r="D21" s="9" t="n">
        <v>4</v>
      </c>
      <c r="E21" s="9" t="s">
        <v>460</v>
      </c>
      <c r="F21" s="9" t="s">
        <v>461</v>
      </c>
      <c r="G21" s="10" t="n">
        <v>40</v>
      </c>
      <c r="H21" s="9" t="s">
        <v>430</v>
      </c>
      <c r="I21" s="9" t="s">
        <v>462</v>
      </c>
      <c r="J21" s="9" t="s">
        <v>445</v>
      </c>
      <c r="K21" s="23" t="n">
        <v>260</v>
      </c>
      <c r="L21" s="10" t="n">
        <v>40</v>
      </c>
      <c r="M21" s="9" t="s">
        <v>86</v>
      </c>
      <c r="N21" s="9" t="s">
        <v>460</v>
      </c>
      <c r="O21" s="9" t="s">
        <v>430</v>
      </c>
      <c r="P21" s="9" t="s">
        <v>874</v>
      </c>
      <c r="Q21" s="9" t="s">
        <v>875</v>
      </c>
      <c r="R21" s="10" t="n">
        <v>40</v>
      </c>
      <c r="S21" s="9" t="s">
        <v>86</v>
      </c>
      <c r="T21" s="9" t="s">
        <v>460</v>
      </c>
      <c r="U21" s="9" t="s">
        <v>430</v>
      </c>
      <c r="V21" s="24" t="n">
        <v>0.97</v>
      </c>
      <c r="W21" s="9" t="s">
        <v>874</v>
      </c>
      <c r="X21" s="9" t="str">
        <f aca="false">IF(S21="New","Human approval (new SKU)",IF(OR(S21&lt;&gt;"Existing",W21&lt;&gt;"Valid",V21&lt;Decision_Rules!$C$6),"Human review","Auto-processed"))</f>
        <v>Auto-processed</v>
      </c>
      <c r="Y21" s="5" t="s">
        <v>876</v>
      </c>
      <c r="Z21" s="9" t="n">
        <f aca="false">IF(M21=S21,1,0)</f>
        <v>1</v>
      </c>
      <c r="AA21" s="9" t="n">
        <f aca="false">IF(P21=W21,1,0)</f>
        <v>1</v>
      </c>
      <c r="AB21" s="9" t="n">
        <f aca="false">IF(O21=U21,1,0)</f>
        <v>1</v>
      </c>
      <c r="AC21" s="27" t="n">
        <v>1</v>
      </c>
    </row>
    <row r="22" customFormat="false" ht="15" hidden="false" customHeight="false" outlineLevel="0" collapsed="false">
      <c r="A22" s="9" t="s">
        <v>900</v>
      </c>
      <c r="B22" s="9" t="s">
        <v>523</v>
      </c>
      <c r="C22" s="9" t="s">
        <v>714</v>
      </c>
      <c r="D22" s="9" t="n">
        <v>1</v>
      </c>
      <c r="E22" s="9" t="s">
        <v>217</v>
      </c>
      <c r="F22" s="9" t="s">
        <v>218</v>
      </c>
      <c r="G22" s="10" t="n">
        <v>400</v>
      </c>
      <c r="H22" s="9" t="s">
        <v>220</v>
      </c>
      <c r="I22" s="9" t="s">
        <v>221</v>
      </c>
      <c r="J22" s="9" t="s">
        <v>222</v>
      </c>
      <c r="K22" s="23" t="n">
        <v>480</v>
      </c>
      <c r="L22" s="10" t="n">
        <v>400</v>
      </c>
      <c r="M22" s="9" t="s">
        <v>86</v>
      </c>
      <c r="N22" s="9" t="s">
        <v>217</v>
      </c>
      <c r="O22" s="9" t="s">
        <v>220</v>
      </c>
      <c r="P22" s="9" t="s">
        <v>874</v>
      </c>
      <c r="Q22" s="9" t="s">
        <v>875</v>
      </c>
      <c r="R22" s="10" t="n">
        <v>400</v>
      </c>
      <c r="S22" s="9" t="s">
        <v>86</v>
      </c>
      <c r="T22" s="9" t="s">
        <v>217</v>
      </c>
      <c r="U22" s="9" t="s">
        <v>220</v>
      </c>
      <c r="V22" s="24" t="n">
        <v>0.98</v>
      </c>
      <c r="W22" s="9" t="s">
        <v>874</v>
      </c>
      <c r="X22" s="9" t="str">
        <f aca="false">IF(S22="New","Human approval (new SKU)",IF(OR(S22&lt;&gt;"Existing",W22&lt;&gt;"Valid",V22&lt;Decision_Rules!$C$6),"Human review","Auto-processed"))</f>
        <v>Auto-processed</v>
      </c>
      <c r="Y22" s="5" t="s">
        <v>876</v>
      </c>
      <c r="Z22" s="9" t="n">
        <f aca="false">IF(M22=S22,1,0)</f>
        <v>1</v>
      </c>
      <c r="AA22" s="9" t="n">
        <f aca="false">IF(P22=W22,1,0)</f>
        <v>1</v>
      </c>
      <c r="AB22" s="9" t="n">
        <f aca="false">IF(O22=U22,1,0)</f>
        <v>1</v>
      </c>
      <c r="AC22" s="27" t="n">
        <v>1</v>
      </c>
    </row>
    <row r="23" customFormat="false" ht="15" hidden="false" customHeight="false" outlineLevel="0" collapsed="false">
      <c r="A23" s="9" t="s">
        <v>901</v>
      </c>
      <c r="B23" s="9" t="s">
        <v>523</v>
      </c>
      <c r="C23" s="9" t="s">
        <v>714</v>
      </c>
      <c r="D23" s="9" t="n">
        <v>2</v>
      </c>
      <c r="E23" s="9" t="s">
        <v>232</v>
      </c>
      <c r="F23" s="9" t="s">
        <v>233</v>
      </c>
      <c r="G23" s="10" t="n">
        <v>600</v>
      </c>
      <c r="H23" s="9" t="s">
        <v>220</v>
      </c>
      <c r="I23" s="9" t="s">
        <v>234</v>
      </c>
      <c r="J23" s="9" t="s">
        <v>222</v>
      </c>
      <c r="K23" s="23" t="n">
        <v>330</v>
      </c>
      <c r="L23" s="10" t="n">
        <v>600</v>
      </c>
      <c r="M23" s="9" t="s">
        <v>86</v>
      </c>
      <c r="N23" s="9" t="s">
        <v>232</v>
      </c>
      <c r="O23" s="9" t="s">
        <v>220</v>
      </c>
      <c r="P23" s="9" t="s">
        <v>874</v>
      </c>
      <c r="Q23" s="9" t="s">
        <v>875</v>
      </c>
      <c r="R23" s="10" t="n">
        <v>600</v>
      </c>
      <c r="S23" s="9" t="s">
        <v>86</v>
      </c>
      <c r="T23" s="9" t="s">
        <v>232</v>
      </c>
      <c r="U23" s="9" t="s">
        <v>220</v>
      </c>
      <c r="V23" s="24" t="n">
        <v>0.96</v>
      </c>
      <c r="W23" s="9" t="s">
        <v>874</v>
      </c>
      <c r="X23" s="9" t="str">
        <f aca="false">IF(S23="New","Human approval (new SKU)",IF(OR(S23&lt;&gt;"Existing",W23&lt;&gt;"Valid",V23&lt;Decision_Rules!$C$6),"Human review","Auto-processed"))</f>
        <v>Auto-processed</v>
      </c>
      <c r="Y23" s="5" t="s">
        <v>876</v>
      </c>
      <c r="Z23" s="9" t="n">
        <f aca="false">IF(M23=S23,1,0)</f>
        <v>1</v>
      </c>
      <c r="AA23" s="9" t="n">
        <f aca="false">IF(P23=W23,1,0)</f>
        <v>1</v>
      </c>
      <c r="AB23" s="9" t="n">
        <f aca="false">IF(O23=U23,1,0)</f>
        <v>1</v>
      </c>
      <c r="AC23" s="27" t="n">
        <v>1</v>
      </c>
    </row>
    <row r="24" customFormat="false" ht="15" hidden="false" customHeight="false" outlineLevel="0" collapsed="false">
      <c r="A24" s="9" t="s">
        <v>902</v>
      </c>
      <c r="B24" s="9" t="s">
        <v>523</v>
      </c>
      <c r="C24" s="9" t="s">
        <v>714</v>
      </c>
      <c r="D24" s="9" t="n">
        <v>3</v>
      </c>
      <c r="E24" s="9" t="s">
        <v>245</v>
      </c>
      <c r="F24" s="9" t="s">
        <v>246</v>
      </c>
      <c r="G24" s="10" t="n">
        <v>100</v>
      </c>
      <c r="H24" s="9" t="s">
        <v>220</v>
      </c>
      <c r="I24" s="9" t="s">
        <v>247</v>
      </c>
      <c r="J24" s="9" t="s">
        <v>222</v>
      </c>
      <c r="K24" s="23" t="n">
        <v>90</v>
      </c>
      <c r="L24" s="10" t="n">
        <v>100</v>
      </c>
      <c r="M24" s="9" t="s">
        <v>86</v>
      </c>
      <c r="N24" s="9" t="s">
        <v>245</v>
      </c>
      <c r="O24" s="9" t="s">
        <v>220</v>
      </c>
      <c r="P24" s="9" t="s">
        <v>874</v>
      </c>
      <c r="Q24" s="9" t="s">
        <v>875</v>
      </c>
      <c r="R24" s="10" t="n">
        <v>100</v>
      </c>
      <c r="S24" s="9" t="s">
        <v>86</v>
      </c>
      <c r="T24" s="9" t="s">
        <v>245</v>
      </c>
      <c r="U24" s="9" t="s">
        <v>220</v>
      </c>
      <c r="V24" s="24" t="n">
        <v>0.95</v>
      </c>
      <c r="W24" s="9" t="s">
        <v>874</v>
      </c>
      <c r="X24" s="9" t="str">
        <f aca="false">IF(S24="New","Human approval (new SKU)",IF(OR(S24&lt;&gt;"Existing",W24&lt;&gt;"Valid",V24&lt;Decision_Rules!$C$6),"Human review","Auto-processed"))</f>
        <v>Auto-processed</v>
      </c>
      <c r="Y24" s="5" t="s">
        <v>876</v>
      </c>
      <c r="Z24" s="9" t="n">
        <f aca="false">IF(M24=S24,1,0)</f>
        <v>1</v>
      </c>
      <c r="AA24" s="9" t="n">
        <f aca="false">IF(P24=W24,1,0)</f>
        <v>1</v>
      </c>
      <c r="AB24" s="9" t="n">
        <f aca="false">IF(O24=U24,1,0)</f>
        <v>1</v>
      </c>
      <c r="AC24" s="27" t="n">
        <v>1</v>
      </c>
    </row>
    <row r="25" customFormat="false" ht="15" hidden="false" customHeight="false" outlineLevel="0" collapsed="false">
      <c r="A25" s="9" t="s">
        <v>903</v>
      </c>
      <c r="B25" s="9" t="s">
        <v>528</v>
      </c>
      <c r="C25" s="9" t="s">
        <v>718</v>
      </c>
      <c r="D25" s="9" t="n">
        <v>1</v>
      </c>
      <c r="E25" s="9" t="s">
        <v>469</v>
      </c>
      <c r="F25" s="9" t="s">
        <v>470</v>
      </c>
      <c r="G25" s="10" t="n">
        <v>1200</v>
      </c>
      <c r="H25" s="9" t="s">
        <v>220</v>
      </c>
      <c r="I25" s="9" t="s">
        <v>471</v>
      </c>
      <c r="J25" s="9" t="s">
        <v>423</v>
      </c>
      <c r="K25" s="23" t="n">
        <v>240</v>
      </c>
      <c r="L25" s="10" t="n">
        <v>1200</v>
      </c>
      <c r="M25" s="9" t="s">
        <v>86</v>
      </c>
      <c r="N25" s="9" t="s">
        <v>469</v>
      </c>
      <c r="O25" s="9" t="s">
        <v>220</v>
      </c>
      <c r="P25" s="9" t="s">
        <v>874</v>
      </c>
      <c r="Q25" s="9" t="s">
        <v>875</v>
      </c>
      <c r="R25" s="28" t="n">
        <v>120</v>
      </c>
      <c r="S25" s="9" t="s">
        <v>86</v>
      </c>
      <c r="T25" s="9" t="s">
        <v>469</v>
      </c>
      <c r="U25" s="9" t="s">
        <v>220</v>
      </c>
      <c r="V25" s="24" t="n">
        <v>0.98</v>
      </c>
      <c r="W25" s="25" t="s">
        <v>904</v>
      </c>
      <c r="X25" s="9" t="str">
        <f aca="false">IF(S25="New","Human approval (new SKU)",IF(OR(S25&lt;&gt;"Existing",W25&lt;&gt;"Valid",V25&lt;Decision_Rules!$C$6),"Human review","Auto-processed"))</f>
        <v>Human review</v>
      </c>
      <c r="Y25" s="5" t="s">
        <v>905</v>
      </c>
      <c r="Z25" s="9" t="n">
        <f aca="false">IF(M25=S25,1,0)</f>
        <v>1</v>
      </c>
      <c r="AA25" s="9" t="n">
        <f aca="false">IF(P25=W25,1,0)</f>
        <v>0</v>
      </c>
      <c r="AB25" s="9" t="n">
        <f aca="false">IF(O25=U25,1,0)</f>
        <v>1</v>
      </c>
      <c r="AC25" s="27" t="n">
        <v>0</v>
      </c>
    </row>
    <row r="26" customFormat="false" ht="15" hidden="false" customHeight="false" outlineLevel="0" collapsed="false">
      <c r="A26" s="9" t="s">
        <v>906</v>
      </c>
      <c r="B26" s="9" t="s">
        <v>528</v>
      </c>
      <c r="C26" s="9" t="s">
        <v>718</v>
      </c>
      <c r="D26" s="9" t="n">
        <v>2</v>
      </c>
      <c r="E26" s="9" t="s">
        <v>425</v>
      </c>
      <c r="F26" s="9" t="s">
        <v>426</v>
      </c>
      <c r="G26" s="10" t="n">
        <v>100</v>
      </c>
      <c r="H26" s="9" t="s">
        <v>220</v>
      </c>
      <c r="I26" s="9" t="s">
        <v>427</v>
      </c>
      <c r="J26" s="9" t="s">
        <v>423</v>
      </c>
      <c r="K26" s="23" t="n">
        <v>22</v>
      </c>
      <c r="L26" s="10" t="n">
        <v>100</v>
      </c>
      <c r="M26" s="9" t="s">
        <v>86</v>
      </c>
      <c r="N26" s="9" t="s">
        <v>425</v>
      </c>
      <c r="O26" s="9" t="s">
        <v>220</v>
      </c>
      <c r="P26" s="9" t="s">
        <v>874</v>
      </c>
      <c r="Q26" s="9" t="s">
        <v>875</v>
      </c>
      <c r="R26" s="10" t="n">
        <v>100</v>
      </c>
      <c r="S26" s="9" t="s">
        <v>86</v>
      </c>
      <c r="T26" s="9" t="s">
        <v>425</v>
      </c>
      <c r="U26" s="9" t="s">
        <v>220</v>
      </c>
      <c r="V26" s="24" t="n">
        <v>0.95</v>
      </c>
      <c r="W26" s="9" t="s">
        <v>874</v>
      </c>
      <c r="X26" s="9" t="str">
        <f aca="false">IF(S26="New","Human approval (new SKU)",IF(OR(S26&lt;&gt;"Existing",W26&lt;&gt;"Valid",V26&lt;Decision_Rules!$C$6),"Human review","Auto-processed"))</f>
        <v>Auto-processed</v>
      </c>
      <c r="Y26" s="5" t="s">
        <v>876</v>
      </c>
      <c r="Z26" s="9" t="n">
        <f aca="false">IF(M26=S26,1,0)</f>
        <v>1</v>
      </c>
      <c r="AA26" s="9" t="n">
        <f aca="false">IF(P26=W26,1,0)</f>
        <v>1</v>
      </c>
      <c r="AB26" s="9" t="n">
        <f aca="false">IF(O26=U26,1,0)</f>
        <v>1</v>
      </c>
      <c r="AC26" s="27" t="n">
        <v>1</v>
      </c>
    </row>
    <row r="27" customFormat="false" ht="15" hidden="false" customHeight="false" outlineLevel="0" collapsed="false">
      <c r="A27" s="9" t="s">
        <v>907</v>
      </c>
      <c r="B27" s="9" t="s">
        <v>528</v>
      </c>
      <c r="C27" s="9" t="s">
        <v>718</v>
      </c>
      <c r="D27" s="9" t="n">
        <v>3</v>
      </c>
      <c r="E27" s="9" t="s">
        <v>432</v>
      </c>
      <c r="F27" s="9" t="s">
        <v>433</v>
      </c>
      <c r="G27" s="10" t="n">
        <v>400</v>
      </c>
      <c r="H27" s="9" t="s">
        <v>220</v>
      </c>
      <c r="I27" s="9" t="s">
        <v>434</v>
      </c>
      <c r="J27" s="9" t="s">
        <v>423</v>
      </c>
      <c r="K27" s="23" t="n">
        <v>212</v>
      </c>
      <c r="L27" s="10" t="n">
        <v>400</v>
      </c>
      <c r="M27" s="9" t="s">
        <v>86</v>
      </c>
      <c r="N27" s="9" t="s">
        <v>432</v>
      </c>
      <c r="O27" s="9" t="s">
        <v>220</v>
      </c>
      <c r="P27" s="9" t="s">
        <v>874</v>
      </c>
      <c r="Q27" s="9" t="s">
        <v>875</v>
      </c>
      <c r="R27" s="10" t="n">
        <v>400</v>
      </c>
      <c r="S27" s="9" t="s">
        <v>86</v>
      </c>
      <c r="T27" s="9" t="s">
        <v>432</v>
      </c>
      <c r="U27" s="9" t="s">
        <v>220</v>
      </c>
      <c r="V27" s="24" t="n">
        <v>0.96</v>
      </c>
      <c r="W27" s="9" t="s">
        <v>874</v>
      </c>
      <c r="X27" s="9" t="str">
        <f aca="false">IF(S27="New","Human approval (new SKU)",IF(OR(S27&lt;&gt;"Existing",W27&lt;&gt;"Valid",V27&lt;Decision_Rules!$C$6),"Human review","Auto-processed"))</f>
        <v>Auto-processed</v>
      </c>
      <c r="Y27" s="5" t="s">
        <v>876</v>
      </c>
      <c r="Z27" s="9" t="n">
        <f aca="false">IF(M27=S27,1,0)</f>
        <v>1</v>
      </c>
      <c r="AA27" s="9" t="n">
        <f aca="false">IF(P27=W27,1,0)</f>
        <v>1</v>
      </c>
      <c r="AB27" s="9" t="n">
        <f aca="false">IF(O27=U27,1,0)</f>
        <v>1</v>
      </c>
      <c r="AC27" s="27" t="n">
        <v>1</v>
      </c>
    </row>
    <row r="28" customFormat="false" ht="15" hidden="false" customHeight="false" outlineLevel="0" collapsed="false">
      <c r="A28" s="9" t="s">
        <v>908</v>
      </c>
      <c r="B28" s="9" t="s">
        <v>535</v>
      </c>
      <c r="C28" s="9" t="s">
        <v>724</v>
      </c>
      <c r="D28" s="9" t="n">
        <v>1</v>
      </c>
      <c r="E28" s="9" t="s">
        <v>279</v>
      </c>
      <c r="F28" s="9" t="s">
        <v>280</v>
      </c>
      <c r="G28" s="10" t="n">
        <v>400</v>
      </c>
      <c r="H28" s="9" t="s">
        <v>220</v>
      </c>
      <c r="I28" s="9" t="s">
        <v>275</v>
      </c>
      <c r="J28" s="9" t="s">
        <v>251</v>
      </c>
      <c r="K28" s="23" t="n">
        <v>32</v>
      </c>
      <c r="L28" s="10" t="n">
        <v>400</v>
      </c>
      <c r="M28" s="9" t="s">
        <v>86</v>
      </c>
      <c r="N28" s="9" t="s">
        <v>279</v>
      </c>
      <c r="O28" s="9" t="s">
        <v>220</v>
      </c>
      <c r="P28" s="9" t="s">
        <v>874</v>
      </c>
      <c r="Q28" s="9" t="s">
        <v>875</v>
      </c>
      <c r="R28" s="10" t="n">
        <v>400</v>
      </c>
      <c r="S28" s="9" t="s">
        <v>86</v>
      </c>
      <c r="T28" s="9" t="s">
        <v>279</v>
      </c>
      <c r="U28" s="9" t="s">
        <v>220</v>
      </c>
      <c r="V28" s="24" t="n">
        <v>0.99</v>
      </c>
      <c r="W28" s="9" t="s">
        <v>874</v>
      </c>
      <c r="X28" s="9" t="str">
        <f aca="false">IF(S28="New","Human approval (new SKU)",IF(OR(S28&lt;&gt;"Existing",W28&lt;&gt;"Valid",V28&lt;Decision_Rules!$C$6),"Human review","Auto-processed"))</f>
        <v>Auto-processed</v>
      </c>
      <c r="Y28" s="5" t="s">
        <v>876</v>
      </c>
      <c r="Z28" s="9" t="n">
        <f aca="false">IF(M28=S28,1,0)</f>
        <v>1</v>
      </c>
      <c r="AA28" s="9" t="n">
        <f aca="false">IF(P28=W28,1,0)</f>
        <v>1</v>
      </c>
      <c r="AB28" s="9" t="n">
        <f aca="false">IF(O28=U28,1,0)</f>
        <v>1</v>
      </c>
      <c r="AC28" s="27" t="n">
        <v>1</v>
      </c>
    </row>
    <row r="29" customFormat="false" ht="15" hidden="false" customHeight="false" outlineLevel="0" collapsed="false">
      <c r="A29" s="9" t="s">
        <v>909</v>
      </c>
      <c r="B29" s="9" t="s">
        <v>535</v>
      </c>
      <c r="C29" s="9" t="s">
        <v>724</v>
      </c>
      <c r="D29" s="9" t="n">
        <v>2</v>
      </c>
      <c r="E29" s="9" t="s">
        <v>263</v>
      </c>
      <c r="F29" s="9" t="s">
        <v>264</v>
      </c>
      <c r="G29" s="10" t="n">
        <v>100</v>
      </c>
      <c r="H29" s="9" t="s">
        <v>220</v>
      </c>
      <c r="I29" s="9" t="s">
        <v>265</v>
      </c>
      <c r="J29" s="9" t="s">
        <v>251</v>
      </c>
      <c r="K29" s="23" t="n">
        <v>18</v>
      </c>
      <c r="L29" s="10" t="n">
        <v>100</v>
      </c>
      <c r="M29" s="9" t="s">
        <v>86</v>
      </c>
      <c r="N29" s="9" t="s">
        <v>263</v>
      </c>
      <c r="O29" s="9" t="s">
        <v>220</v>
      </c>
      <c r="P29" s="9" t="s">
        <v>874</v>
      </c>
      <c r="Q29" s="9" t="s">
        <v>875</v>
      </c>
      <c r="R29" s="10" t="n">
        <v>100</v>
      </c>
      <c r="S29" s="9" t="s">
        <v>86</v>
      </c>
      <c r="T29" s="9" t="s">
        <v>263</v>
      </c>
      <c r="U29" s="9" t="s">
        <v>220</v>
      </c>
      <c r="V29" s="24" t="n">
        <v>0.97</v>
      </c>
      <c r="W29" s="9" t="s">
        <v>874</v>
      </c>
      <c r="X29" s="9" t="str">
        <f aca="false">IF(S29="New","Human approval (new SKU)",IF(OR(S29&lt;&gt;"Existing",W29&lt;&gt;"Valid",V29&lt;Decision_Rules!$C$6),"Human review","Auto-processed"))</f>
        <v>Auto-processed</v>
      </c>
      <c r="Y29" s="5" t="s">
        <v>876</v>
      </c>
      <c r="Z29" s="9" t="n">
        <f aca="false">IF(M29=S29,1,0)</f>
        <v>1</v>
      </c>
      <c r="AA29" s="9" t="n">
        <f aca="false">IF(P29=W29,1,0)</f>
        <v>1</v>
      </c>
      <c r="AB29" s="9" t="n">
        <f aca="false">IF(O29=U29,1,0)</f>
        <v>1</v>
      </c>
      <c r="AC29" s="27" t="n">
        <v>1</v>
      </c>
    </row>
    <row r="30" customFormat="false" ht="15" hidden="false" customHeight="false" outlineLevel="0" collapsed="false">
      <c r="A30" s="9" t="s">
        <v>910</v>
      </c>
      <c r="B30" s="9" t="s">
        <v>535</v>
      </c>
      <c r="C30" s="9" t="s">
        <v>724</v>
      </c>
      <c r="D30" s="9" t="n">
        <v>3</v>
      </c>
      <c r="E30" s="9" t="s">
        <v>253</v>
      </c>
      <c r="F30" s="9" t="s">
        <v>254</v>
      </c>
      <c r="G30" s="10" t="n">
        <v>500</v>
      </c>
      <c r="H30" s="9" t="s">
        <v>220</v>
      </c>
      <c r="I30" s="9" t="s">
        <v>250</v>
      </c>
      <c r="J30" s="9" t="s">
        <v>251</v>
      </c>
      <c r="K30" s="23" t="n">
        <v>210</v>
      </c>
      <c r="L30" s="10" t="n">
        <v>500</v>
      </c>
      <c r="M30" s="9" t="s">
        <v>86</v>
      </c>
      <c r="N30" s="9" t="s">
        <v>253</v>
      </c>
      <c r="O30" s="9" t="s">
        <v>220</v>
      </c>
      <c r="P30" s="9" t="s">
        <v>874</v>
      </c>
      <c r="Q30" s="9" t="s">
        <v>875</v>
      </c>
      <c r="R30" s="10" t="n">
        <v>500</v>
      </c>
      <c r="S30" s="9" t="s">
        <v>86</v>
      </c>
      <c r="T30" s="9" t="s">
        <v>253</v>
      </c>
      <c r="U30" s="9" t="s">
        <v>220</v>
      </c>
      <c r="V30" s="24" t="n">
        <v>0.98</v>
      </c>
      <c r="W30" s="9" t="s">
        <v>874</v>
      </c>
      <c r="X30" s="9" t="str">
        <f aca="false">IF(S30="New","Human approval (new SKU)",IF(OR(S30&lt;&gt;"Existing",W30&lt;&gt;"Valid",V30&lt;Decision_Rules!$C$6),"Human review","Auto-processed"))</f>
        <v>Auto-processed</v>
      </c>
      <c r="Y30" s="5" t="s">
        <v>876</v>
      </c>
      <c r="Z30" s="9" t="n">
        <f aca="false">IF(M30=S30,1,0)</f>
        <v>1</v>
      </c>
      <c r="AA30" s="9" t="n">
        <f aca="false">IF(P30=W30,1,0)</f>
        <v>1</v>
      </c>
      <c r="AB30" s="9" t="n">
        <f aca="false">IF(O30=U30,1,0)</f>
        <v>1</v>
      </c>
      <c r="AC30" s="27" t="n">
        <v>1</v>
      </c>
    </row>
    <row r="31" customFormat="false" ht="22.35" hidden="false" customHeight="false" outlineLevel="0" collapsed="false">
      <c r="A31" s="9" t="s">
        <v>911</v>
      </c>
      <c r="B31" s="9" t="s">
        <v>535</v>
      </c>
      <c r="C31" s="9" t="s">
        <v>724</v>
      </c>
      <c r="D31" s="9" t="n">
        <v>4</v>
      </c>
      <c r="E31" s="9" t="s">
        <v>912</v>
      </c>
      <c r="F31" s="9" t="s">
        <v>913</v>
      </c>
      <c r="G31" s="10" t="n">
        <v>300</v>
      </c>
      <c r="H31" s="9" t="s">
        <v>220</v>
      </c>
      <c r="I31" s="9" t="s">
        <v>914</v>
      </c>
      <c r="J31" s="9" t="s">
        <v>251</v>
      </c>
      <c r="K31" s="23" t="n">
        <v>33</v>
      </c>
      <c r="L31" s="10" t="n">
        <v>300</v>
      </c>
      <c r="M31" s="9" t="s">
        <v>87</v>
      </c>
      <c r="N31" s="9" t="s">
        <v>915</v>
      </c>
      <c r="O31" s="9" t="s">
        <v>220</v>
      </c>
      <c r="P31" s="9" t="s">
        <v>874</v>
      </c>
      <c r="Q31" s="9" t="s">
        <v>916</v>
      </c>
      <c r="R31" s="10" t="n">
        <v>300</v>
      </c>
      <c r="S31" s="9" t="s">
        <v>87</v>
      </c>
      <c r="T31" s="9" t="s">
        <v>917</v>
      </c>
      <c r="U31" s="9" t="s">
        <v>220</v>
      </c>
      <c r="V31" s="24" t="n">
        <v>0.92</v>
      </c>
      <c r="W31" s="9" t="s">
        <v>874</v>
      </c>
      <c r="X31" s="9" t="str">
        <f aca="false">IF(S31="New","Human approval (new SKU)",IF(OR(S31&lt;&gt;"Existing",W31&lt;&gt;"Valid",V31&lt;Decision_Rules!$C$6),"Human review","Auto-processed"))</f>
        <v>Human approval (new SKU)</v>
      </c>
      <c r="Y31" s="5" t="s">
        <v>918</v>
      </c>
      <c r="Z31" s="9" t="n">
        <f aca="false">IF(M31=S31,1,0)</f>
        <v>1</v>
      </c>
      <c r="AA31" s="9" t="n">
        <f aca="false">IF(P31=W31,1,0)</f>
        <v>1</v>
      </c>
      <c r="AB31" s="9" t="n">
        <f aca="false">IF(O31=U31,1,0)</f>
        <v>1</v>
      </c>
      <c r="AC31" s="27" t="n">
        <v>1</v>
      </c>
    </row>
    <row r="32" customFormat="false" ht="15" hidden="false" customHeight="false" outlineLevel="0" collapsed="false">
      <c r="A32" s="9" t="s">
        <v>919</v>
      </c>
      <c r="B32" s="9" t="s">
        <v>541</v>
      </c>
      <c r="C32" s="9" t="s">
        <v>730</v>
      </c>
      <c r="D32" s="9" t="n">
        <v>1</v>
      </c>
      <c r="E32" s="9" t="s">
        <v>232</v>
      </c>
      <c r="F32" s="9" t="s">
        <v>920</v>
      </c>
      <c r="G32" s="10" t="n">
        <v>120</v>
      </c>
      <c r="H32" s="9" t="s">
        <v>921</v>
      </c>
      <c r="I32" s="9" t="s">
        <v>234</v>
      </c>
      <c r="J32" s="9" t="s">
        <v>222</v>
      </c>
      <c r="K32" s="23" t="n">
        <v>66</v>
      </c>
      <c r="L32" s="10" t="n">
        <v>120</v>
      </c>
      <c r="M32" s="9" t="s">
        <v>86</v>
      </c>
      <c r="N32" s="9" t="s">
        <v>232</v>
      </c>
      <c r="O32" s="9" t="s">
        <v>220</v>
      </c>
      <c r="P32" s="9" t="s">
        <v>874</v>
      </c>
      <c r="Q32" s="9" t="s">
        <v>922</v>
      </c>
      <c r="R32" s="10" t="n">
        <v>120</v>
      </c>
      <c r="S32" s="25" t="s">
        <v>88</v>
      </c>
      <c r="T32" s="9" t="s">
        <v>923</v>
      </c>
      <c r="U32" s="9" t="s">
        <v>220</v>
      </c>
      <c r="V32" s="24" t="n">
        <v>0.78</v>
      </c>
      <c r="W32" s="9" t="s">
        <v>874</v>
      </c>
      <c r="X32" s="9" t="str">
        <f aca="false">IF(S32="New","Human approval (new SKU)",IF(OR(S32&lt;&gt;"Existing",W32&lt;&gt;"Valid",V32&lt;Decision_Rules!$C$6),"Human review","Auto-processed"))</f>
        <v>Human review</v>
      </c>
      <c r="Y32" s="5" t="s">
        <v>924</v>
      </c>
      <c r="Z32" s="9" t="n">
        <f aca="false">IF(M32=S32,1,0)</f>
        <v>0</v>
      </c>
      <c r="AA32" s="9" t="n">
        <f aca="false">IF(P32=W32,1,0)</f>
        <v>1</v>
      </c>
      <c r="AB32" s="9" t="n">
        <f aca="false">IF(O32=U32,1,0)</f>
        <v>1</v>
      </c>
      <c r="AC32" s="27" t="n">
        <v>1</v>
      </c>
    </row>
    <row r="33" customFormat="false" ht="15" hidden="false" customHeight="false" outlineLevel="0" collapsed="false">
      <c r="A33" s="9" t="s">
        <v>925</v>
      </c>
      <c r="B33" s="9" t="s">
        <v>541</v>
      </c>
      <c r="C33" s="9" t="s">
        <v>730</v>
      </c>
      <c r="D33" s="9" t="n">
        <v>2</v>
      </c>
      <c r="E33" s="9" t="s">
        <v>242</v>
      </c>
      <c r="F33" s="9" t="s">
        <v>243</v>
      </c>
      <c r="G33" s="10" t="n">
        <v>200</v>
      </c>
      <c r="H33" s="9" t="s">
        <v>921</v>
      </c>
      <c r="I33" s="9" t="s">
        <v>244</v>
      </c>
      <c r="J33" s="9" t="s">
        <v>222</v>
      </c>
      <c r="K33" s="23" t="n">
        <v>16</v>
      </c>
      <c r="L33" s="10" t="n">
        <v>200</v>
      </c>
      <c r="M33" s="9" t="s">
        <v>86</v>
      </c>
      <c r="N33" s="9" t="s">
        <v>242</v>
      </c>
      <c r="O33" s="9" t="s">
        <v>220</v>
      </c>
      <c r="P33" s="9" t="s">
        <v>874</v>
      </c>
      <c r="Q33" s="9" t="s">
        <v>926</v>
      </c>
      <c r="R33" s="10" t="n">
        <v>200</v>
      </c>
      <c r="S33" s="9" t="s">
        <v>86</v>
      </c>
      <c r="T33" s="9" t="s">
        <v>242</v>
      </c>
      <c r="U33" s="9" t="s">
        <v>220</v>
      </c>
      <c r="V33" s="24" t="n">
        <v>0.99</v>
      </c>
      <c r="W33" s="9" t="s">
        <v>874</v>
      </c>
      <c r="X33" s="9" t="str">
        <f aca="false">IF(S33="New","Human approval (new SKU)",IF(OR(S33&lt;&gt;"Existing",W33&lt;&gt;"Valid",V33&lt;Decision_Rules!$C$6),"Human review","Auto-processed"))</f>
        <v>Auto-processed</v>
      </c>
      <c r="Y33" s="5" t="s">
        <v>927</v>
      </c>
      <c r="Z33" s="9" t="n">
        <f aca="false">IF(M33=S33,1,0)</f>
        <v>1</v>
      </c>
      <c r="AA33" s="9" t="n">
        <f aca="false">IF(P33=W33,1,0)</f>
        <v>1</v>
      </c>
      <c r="AB33" s="9" t="n">
        <f aca="false">IF(O33=U33,1,0)</f>
        <v>1</v>
      </c>
      <c r="AC33" s="27" t="n">
        <v>1</v>
      </c>
    </row>
    <row r="34" customFormat="false" ht="15" hidden="false" customHeight="false" outlineLevel="0" collapsed="false">
      <c r="A34" s="9" t="s">
        <v>928</v>
      </c>
      <c r="B34" s="9" t="s">
        <v>541</v>
      </c>
      <c r="C34" s="9" t="s">
        <v>730</v>
      </c>
      <c r="D34" s="9" t="n">
        <v>3</v>
      </c>
      <c r="E34" s="9" t="s">
        <v>269</v>
      </c>
      <c r="F34" s="9" t="s">
        <v>270</v>
      </c>
      <c r="G34" s="10" t="n">
        <v>120</v>
      </c>
      <c r="H34" s="9" t="s">
        <v>921</v>
      </c>
      <c r="I34" s="9" t="s">
        <v>271</v>
      </c>
      <c r="J34" s="9" t="s">
        <v>222</v>
      </c>
      <c r="K34" s="23" t="n">
        <v>36</v>
      </c>
      <c r="L34" s="10" t="n">
        <v>120</v>
      </c>
      <c r="M34" s="9" t="s">
        <v>86</v>
      </c>
      <c r="N34" s="9" t="s">
        <v>269</v>
      </c>
      <c r="O34" s="9" t="s">
        <v>220</v>
      </c>
      <c r="P34" s="9" t="s">
        <v>874</v>
      </c>
      <c r="Q34" s="9" t="s">
        <v>926</v>
      </c>
      <c r="R34" s="10" t="n">
        <v>120</v>
      </c>
      <c r="S34" s="9" t="s">
        <v>86</v>
      </c>
      <c r="T34" s="9" t="s">
        <v>269</v>
      </c>
      <c r="U34" s="9" t="s">
        <v>220</v>
      </c>
      <c r="V34" s="24" t="n">
        <v>0.96</v>
      </c>
      <c r="W34" s="9" t="s">
        <v>874</v>
      </c>
      <c r="X34" s="9" t="str">
        <f aca="false">IF(S34="New","Human approval (new SKU)",IF(OR(S34&lt;&gt;"Existing",W34&lt;&gt;"Valid",V34&lt;Decision_Rules!$C$6),"Human review","Auto-processed"))</f>
        <v>Auto-processed</v>
      </c>
      <c r="Y34" s="5" t="s">
        <v>927</v>
      </c>
      <c r="Z34" s="9" t="n">
        <f aca="false">IF(M34=S34,1,0)</f>
        <v>1</v>
      </c>
      <c r="AA34" s="9" t="n">
        <f aca="false">IF(P34=W34,1,0)</f>
        <v>1</v>
      </c>
      <c r="AB34" s="9" t="n">
        <f aca="false">IF(O34=U34,1,0)</f>
        <v>1</v>
      </c>
      <c r="AC34" s="27" t="n">
        <v>1</v>
      </c>
    </row>
    <row r="35" customFormat="false" ht="15" hidden="false" customHeight="false" outlineLevel="0" collapsed="false">
      <c r="A35" s="9" t="s">
        <v>929</v>
      </c>
      <c r="B35" s="9" t="s">
        <v>547</v>
      </c>
      <c r="C35" s="9" t="s">
        <v>734</v>
      </c>
      <c r="D35" s="9" t="n">
        <v>1</v>
      </c>
      <c r="E35" s="9" t="s">
        <v>360</v>
      </c>
      <c r="F35" s="9" t="s">
        <v>361</v>
      </c>
      <c r="G35" s="10" t="n">
        <v>1000</v>
      </c>
      <c r="H35" s="9" t="s">
        <v>220</v>
      </c>
      <c r="I35" s="9" t="s">
        <v>362</v>
      </c>
      <c r="J35" s="9" t="s">
        <v>222</v>
      </c>
      <c r="K35" s="23" t="n">
        <v>600</v>
      </c>
      <c r="L35" s="10" t="n">
        <v>1000</v>
      </c>
      <c r="M35" s="9" t="s">
        <v>86</v>
      </c>
      <c r="N35" s="9" t="s">
        <v>360</v>
      </c>
      <c r="O35" s="9" t="s">
        <v>220</v>
      </c>
      <c r="P35" s="9" t="s">
        <v>874</v>
      </c>
      <c r="Q35" s="9" t="s">
        <v>875</v>
      </c>
      <c r="R35" s="10" t="n">
        <v>1000</v>
      </c>
      <c r="S35" s="9" t="s">
        <v>86</v>
      </c>
      <c r="T35" s="9" t="s">
        <v>360</v>
      </c>
      <c r="U35" s="9" t="s">
        <v>220</v>
      </c>
      <c r="V35" s="24" t="n">
        <v>0.97</v>
      </c>
      <c r="W35" s="9" t="s">
        <v>874</v>
      </c>
      <c r="X35" s="9" t="str">
        <f aca="false">IF(S35="New","Human approval (new SKU)",IF(OR(S35&lt;&gt;"Existing",W35&lt;&gt;"Valid",V35&lt;Decision_Rules!$C$6),"Human review","Auto-processed"))</f>
        <v>Auto-processed</v>
      </c>
      <c r="Y35" s="5" t="s">
        <v>876</v>
      </c>
      <c r="Z35" s="9" t="n">
        <f aca="false">IF(M35=S35,1,0)</f>
        <v>1</v>
      </c>
      <c r="AA35" s="9" t="n">
        <f aca="false">IF(P35=W35,1,0)</f>
        <v>1</v>
      </c>
      <c r="AB35" s="9" t="n">
        <f aca="false">IF(O35=U35,1,0)</f>
        <v>1</v>
      </c>
      <c r="AC35" s="27" t="n">
        <v>1</v>
      </c>
    </row>
    <row r="36" customFormat="false" ht="15" hidden="false" customHeight="false" outlineLevel="0" collapsed="false">
      <c r="A36" s="9" t="s">
        <v>930</v>
      </c>
      <c r="B36" s="9" t="s">
        <v>547</v>
      </c>
      <c r="C36" s="9" t="s">
        <v>734</v>
      </c>
      <c r="D36" s="9" t="n">
        <v>2</v>
      </c>
      <c r="E36" s="9" t="s">
        <v>344</v>
      </c>
      <c r="F36" s="9" t="s">
        <v>345</v>
      </c>
      <c r="G36" s="10" t="n">
        <v>100</v>
      </c>
      <c r="H36" s="9" t="s">
        <v>220</v>
      </c>
      <c r="I36" s="9" t="s">
        <v>346</v>
      </c>
      <c r="J36" s="9" t="s">
        <v>222</v>
      </c>
      <c r="K36" s="23" t="n">
        <v>50</v>
      </c>
      <c r="L36" s="10" t="n">
        <v>100</v>
      </c>
      <c r="M36" s="9" t="s">
        <v>86</v>
      </c>
      <c r="N36" s="9" t="s">
        <v>344</v>
      </c>
      <c r="O36" s="9" t="s">
        <v>220</v>
      </c>
      <c r="P36" s="9" t="s">
        <v>874</v>
      </c>
      <c r="Q36" s="9" t="s">
        <v>875</v>
      </c>
      <c r="R36" s="10" t="n">
        <v>100</v>
      </c>
      <c r="S36" s="9" t="s">
        <v>86</v>
      </c>
      <c r="T36" s="9" t="s">
        <v>344</v>
      </c>
      <c r="U36" s="9" t="s">
        <v>220</v>
      </c>
      <c r="V36" s="24" t="n">
        <v>0.95</v>
      </c>
      <c r="W36" s="9" t="s">
        <v>874</v>
      </c>
      <c r="X36" s="9" t="str">
        <f aca="false">IF(S36="New","Human approval (new SKU)",IF(OR(S36&lt;&gt;"Existing",W36&lt;&gt;"Valid",V36&lt;Decision_Rules!$C$6),"Human review","Auto-processed"))</f>
        <v>Auto-processed</v>
      </c>
      <c r="Y36" s="5" t="s">
        <v>876</v>
      </c>
      <c r="Z36" s="9" t="n">
        <f aca="false">IF(M36=S36,1,0)</f>
        <v>1</v>
      </c>
      <c r="AA36" s="9" t="n">
        <f aca="false">IF(P36=W36,1,0)</f>
        <v>1</v>
      </c>
      <c r="AB36" s="9" t="n">
        <f aca="false">IF(O36=U36,1,0)</f>
        <v>1</v>
      </c>
      <c r="AC36" s="27" t="n">
        <v>1</v>
      </c>
    </row>
    <row r="37" customFormat="false" ht="15" hidden="false" customHeight="false" outlineLevel="0" collapsed="false">
      <c r="A37" s="9" t="s">
        <v>931</v>
      </c>
      <c r="B37" s="9" t="s">
        <v>547</v>
      </c>
      <c r="C37" s="9" t="s">
        <v>734</v>
      </c>
      <c r="D37" s="9" t="n">
        <v>3</v>
      </c>
      <c r="E37" s="9" t="s">
        <v>342</v>
      </c>
      <c r="F37" s="9" t="s">
        <v>343</v>
      </c>
      <c r="G37" s="10" t="n">
        <v>150</v>
      </c>
      <c r="H37" s="9" t="s">
        <v>220</v>
      </c>
      <c r="I37" s="9" t="s">
        <v>341</v>
      </c>
      <c r="J37" s="9" t="s">
        <v>222</v>
      </c>
      <c r="K37" s="23" t="n">
        <v>120</v>
      </c>
      <c r="L37" s="10" t="n">
        <v>150</v>
      </c>
      <c r="M37" s="9" t="s">
        <v>86</v>
      </c>
      <c r="N37" s="9" t="s">
        <v>342</v>
      </c>
      <c r="O37" s="9" t="s">
        <v>220</v>
      </c>
      <c r="P37" s="9" t="s">
        <v>874</v>
      </c>
      <c r="Q37" s="9" t="s">
        <v>875</v>
      </c>
      <c r="R37" s="10" t="n">
        <v>150</v>
      </c>
      <c r="S37" s="9" t="s">
        <v>86</v>
      </c>
      <c r="T37" s="9" t="s">
        <v>342</v>
      </c>
      <c r="U37" s="9" t="s">
        <v>220</v>
      </c>
      <c r="V37" s="24" t="n">
        <v>0.98</v>
      </c>
      <c r="W37" s="9" t="s">
        <v>874</v>
      </c>
      <c r="X37" s="9" t="str">
        <f aca="false">IF(S37="New","Human approval (new SKU)",IF(OR(S37&lt;&gt;"Existing",W37&lt;&gt;"Valid",V37&lt;Decision_Rules!$C$6),"Human review","Auto-processed"))</f>
        <v>Auto-processed</v>
      </c>
      <c r="Y37" s="5" t="s">
        <v>876</v>
      </c>
      <c r="Z37" s="9" t="n">
        <f aca="false">IF(M37=S37,1,0)</f>
        <v>1</v>
      </c>
      <c r="AA37" s="9" t="n">
        <f aca="false">IF(P37=W37,1,0)</f>
        <v>1</v>
      </c>
      <c r="AB37" s="9" t="n">
        <f aca="false">IF(O37=U37,1,0)</f>
        <v>1</v>
      </c>
      <c r="AC37" s="27" t="n">
        <v>1</v>
      </c>
    </row>
    <row r="38" customFormat="false" ht="15" hidden="false" customHeight="false" outlineLevel="0" collapsed="false">
      <c r="A38" s="9" t="s">
        <v>932</v>
      </c>
      <c r="B38" s="9" t="s">
        <v>547</v>
      </c>
      <c r="C38" s="9" t="s">
        <v>734</v>
      </c>
      <c r="D38" s="9" t="n">
        <v>4</v>
      </c>
      <c r="E38" s="9" t="s">
        <v>347</v>
      </c>
      <c r="F38" s="9" t="s">
        <v>348</v>
      </c>
      <c r="G38" s="10" t="n">
        <v>50</v>
      </c>
      <c r="H38" s="9" t="s">
        <v>349</v>
      </c>
      <c r="I38" s="9" t="s">
        <v>350</v>
      </c>
      <c r="J38" s="9" t="s">
        <v>222</v>
      </c>
      <c r="K38" s="23" t="n">
        <v>12.5</v>
      </c>
      <c r="L38" s="10" t="n">
        <v>50</v>
      </c>
      <c r="M38" s="9" t="s">
        <v>86</v>
      </c>
      <c r="N38" s="9" t="s">
        <v>347</v>
      </c>
      <c r="O38" s="9" t="s">
        <v>349</v>
      </c>
      <c r="P38" s="9" t="s">
        <v>874</v>
      </c>
      <c r="Q38" s="9" t="s">
        <v>875</v>
      </c>
      <c r="R38" s="10" t="n">
        <v>50</v>
      </c>
      <c r="S38" s="9" t="s">
        <v>86</v>
      </c>
      <c r="T38" s="9" t="s">
        <v>347</v>
      </c>
      <c r="U38" s="9" t="s">
        <v>349</v>
      </c>
      <c r="V38" s="24" t="n">
        <v>0.98</v>
      </c>
      <c r="W38" s="9" t="s">
        <v>874</v>
      </c>
      <c r="X38" s="9" t="str">
        <f aca="false">IF(S38="New","Human approval (new SKU)",IF(OR(S38&lt;&gt;"Existing",W38&lt;&gt;"Valid",V38&lt;Decision_Rules!$C$6),"Human review","Auto-processed"))</f>
        <v>Auto-processed</v>
      </c>
      <c r="Y38" s="5" t="s">
        <v>876</v>
      </c>
      <c r="Z38" s="9" t="n">
        <f aca="false">IF(M38=S38,1,0)</f>
        <v>1</v>
      </c>
      <c r="AA38" s="9" t="n">
        <f aca="false">IF(P38=W38,1,0)</f>
        <v>1</v>
      </c>
      <c r="AB38" s="9" t="n">
        <f aca="false">IF(O38=U38,1,0)</f>
        <v>1</v>
      </c>
      <c r="AC38" s="27" t="n">
        <v>1</v>
      </c>
    </row>
    <row r="39" customFormat="false" ht="15" hidden="false" customHeight="false" outlineLevel="0" collapsed="false">
      <c r="A39" s="9" t="s">
        <v>933</v>
      </c>
      <c r="B39" s="9" t="s">
        <v>553</v>
      </c>
      <c r="C39" s="9" t="s">
        <v>740</v>
      </c>
      <c r="D39" s="9" t="n">
        <v>1</v>
      </c>
      <c r="E39" s="9" t="s">
        <v>232</v>
      </c>
      <c r="F39" s="9" t="s">
        <v>233</v>
      </c>
      <c r="G39" s="10" t="n">
        <v>500</v>
      </c>
      <c r="H39" s="9" t="s">
        <v>220</v>
      </c>
      <c r="I39" s="9" t="s">
        <v>234</v>
      </c>
      <c r="J39" s="9" t="s">
        <v>222</v>
      </c>
      <c r="K39" s="23" t="n">
        <v>275</v>
      </c>
      <c r="L39" s="10" t="n">
        <v>500</v>
      </c>
      <c r="M39" s="9" t="s">
        <v>86</v>
      </c>
      <c r="N39" s="9" t="s">
        <v>232</v>
      </c>
      <c r="O39" s="9" t="s">
        <v>220</v>
      </c>
      <c r="P39" s="9" t="s">
        <v>874</v>
      </c>
      <c r="Q39" s="9" t="s">
        <v>875</v>
      </c>
      <c r="R39" s="10" t="n">
        <v>500</v>
      </c>
      <c r="S39" s="9" t="s">
        <v>86</v>
      </c>
      <c r="T39" s="9" t="s">
        <v>232</v>
      </c>
      <c r="U39" s="9" t="s">
        <v>220</v>
      </c>
      <c r="V39" s="24" t="n">
        <v>0.95</v>
      </c>
      <c r="W39" s="9" t="s">
        <v>874</v>
      </c>
      <c r="X39" s="9" t="str">
        <f aca="false">IF(S39="New","Human approval (new SKU)",IF(OR(S39&lt;&gt;"Existing",W39&lt;&gt;"Valid",V39&lt;Decision_Rules!$C$6),"Human review","Auto-processed"))</f>
        <v>Auto-processed</v>
      </c>
      <c r="Y39" s="5" t="s">
        <v>876</v>
      </c>
      <c r="Z39" s="9" t="n">
        <f aca="false">IF(M39=S39,1,0)</f>
        <v>1</v>
      </c>
      <c r="AA39" s="9" t="n">
        <f aca="false">IF(P39=W39,1,0)</f>
        <v>1</v>
      </c>
      <c r="AB39" s="9" t="n">
        <f aca="false">IF(O39=U39,1,0)</f>
        <v>1</v>
      </c>
      <c r="AC39" s="27" t="n">
        <v>1</v>
      </c>
    </row>
    <row r="40" customFormat="false" ht="22.35" hidden="false" customHeight="false" outlineLevel="0" collapsed="false">
      <c r="A40" s="9" t="s">
        <v>934</v>
      </c>
      <c r="B40" s="9" t="s">
        <v>553</v>
      </c>
      <c r="C40" s="9" t="s">
        <v>740</v>
      </c>
      <c r="D40" s="9" t="n">
        <v>2</v>
      </c>
      <c r="E40" s="9" t="s">
        <v>935</v>
      </c>
      <c r="F40" s="9" t="s">
        <v>936</v>
      </c>
      <c r="G40" s="10" t="n">
        <v>200</v>
      </c>
      <c r="H40" s="9" t="s">
        <v>220</v>
      </c>
      <c r="I40" s="9" t="s">
        <v>221</v>
      </c>
      <c r="J40" s="9" t="s">
        <v>222</v>
      </c>
      <c r="K40" s="23" t="n">
        <v>240</v>
      </c>
      <c r="L40" s="10" t="n">
        <v>200</v>
      </c>
      <c r="M40" s="9" t="s">
        <v>88</v>
      </c>
      <c r="N40" s="9" t="s">
        <v>937</v>
      </c>
      <c r="O40" s="9" t="s">
        <v>220</v>
      </c>
      <c r="P40" s="9" t="s">
        <v>874</v>
      </c>
      <c r="Q40" s="9" t="s">
        <v>938</v>
      </c>
      <c r="R40" s="10" t="n">
        <v>200</v>
      </c>
      <c r="S40" s="9" t="s">
        <v>88</v>
      </c>
      <c r="T40" s="9" t="s">
        <v>939</v>
      </c>
      <c r="U40" s="9" t="s">
        <v>220</v>
      </c>
      <c r="V40" s="24" t="n">
        <v>0.71</v>
      </c>
      <c r="W40" s="9" t="s">
        <v>874</v>
      </c>
      <c r="X40" s="9" t="str">
        <f aca="false">IF(S40="New","Human approval (new SKU)",IF(OR(S40&lt;&gt;"Existing",W40&lt;&gt;"Valid",V40&lt;Decision_Rules!$C$6),"Human review","Auto-processed"))</f>
        <v>Human review</v>
      </c>
      <c r="Y40" s="5" t="s">
        <v>940</v>
      </c>
      <c r="Z40" s="9" t="n">
        <f aca="false">IF(M40=S40,1,0)</f>
        <v>1</v>
      </c>
      <c r="AA40" s="9" t="n">
        <f aca="false">IF(P40=W40,1,0)</f>
        <v>1</v>
      </c>
      <c r="AB40" s="9" t="n">
        <f aca="false">IF(O40=U40,1,0)</f>
        <v>1</v>
      </c>
      <c r="AC40" s="27" t="n">
        <v>1</v>
      </c>
    </row>
    <row r="41" customFormat="false" ht="15" hidden="false" customHeight="false" outlineLevel="0" collapsed="false">
      <c r="A41" s="9" t="s">
        <v>941</v>
      </c>
      <c r="B41" s="9" t="s">
        <v>553</v>
      </c>
      <c r="C41" s="9" t="s">
        <v>740</v>
      </c>
      <c r="D41" s="9" t="n">
        <v>3</v>
      </c>
      <c r="E41" s="9" t="s">
        <v>242</v>
      </c>
      <c r="F41" s="9" t="s">
        <v>243</v>
      </c>
      <c r="G41" s="10" t="n">
        <v>1000</v>
      </c>
      <c r="H41" s="9" t="s">
        <v>220</v>
      </c>
      <c r="I41" s="9" t="s">
        <v>244</v>
      </c>
      <c r="J41" s="9" t="s">
        <v>222</v>
      </c>
      <c r="K41" s="23" t="n">
        <v>80</v>
      </c>
      <c r="L41" s="10" t="n">
        <v>1000</v>
      </c>
      <c r="M41" s="9" t="s">
        <v>86</v>
      </c>
      <c r="N41" s="9" t="s">
        <v>242</v>
      </c>
      <c r="O41" s="9" t="s">
        <v>220</v>
      </c>
      <c r="P41" s="9" t="s">
        <v>874</v>
      </c>
      <c r="Q41" s="9" t="s">
        <v>875</v>
      </c>
      <c r="R41" s="10" t="n">
        <v>1000</v>
      </c>
      <c r="S41" s="9" t="s">
        <v>86</v>
      </c>
      <c r="T41" s="9" t="s">
        <v>242</v>
      </c>
      <c r="U41" s="9" t="s">
        <v>220</v>
      </c>
      <c r="V41" s="24" t="n">
        <v>0.96</v>
      </c>
      <c r="W41" s="9" t="s">
        <v>874</v>
      </c>
      <c r="X41" s="9" t="str">
        <f aca="false">IF(S41="New","Human approval (new SKU)",IF(OR(S41&lt;&gt;"Existing",W41&lt;&gt;"Valid",V41&lt;Decision_Rules!$C$6),"Human review","Auto-processed"))</f>
        <v>Auto-processed</v>
      </c>
      <c r="Y41" s="5" t="s">
        <v>876</v>
      </c>
      <c r="Z41" s="9" t="n">
        <f aca="false">IF(M41=S41,1,0)</f>
        <v>1</v>
      </c>
      <c r="AA41" s="9" t="n">
        <f aca="false">IF(P41=W41,1,0)</f>
        <v>1</v>
      </c>
      <c r="AB41" s="9" t="n">
        <f aca="false">IF(O41=U41,1,0)</f>
        <v>1</v>
      </c>
      <c r="AC41" s="27" t="n">
        <v>1</v>
      </c>
    </row>
    <row r="42" customFormat="false" ht="15" hidden="false" customHeight="false" outlineLevel="0" collapsed="false">
      <c r="A42" s="9" t="s">
        <v>942</v>
      </c>
      <c r="B42" s="9" t="s">
        <v>553</v>
      </c>
      <c r="C42" s="9" t="s">
        <v>740</v>
      </c>
      <c r="D42" s="9" t="n">
        <v>4</v>
      </c>
      <c r="E42" s="9" t="s">
        <v>245</v>
      </c>
      <c r="F42" s="9" t="s">
        <v>246</v>
      </c>
      <c r="G42" s="10" t="n">
        <v>1000</v>
      </c>
      <c r="H42" s="9" t="s">
        <v>220</v>
      </c>
      <c r="I42" s="9" t="s">
        <v>247</v>
      </c>
      <c r="J42" s="9" t="s">
        <v>222</v>
      </c>
      <c r="K42" s="23" t="n">
        <v>900</v>
      </c>
      <c r="L42" s="10" t="n">
        <v>1000</v>
      </c>
      <c r="M42" s="9" t="s">
        <v>86</v>
      </c>
      <c r="N42" s="9" t="s">
        <v>245</v>
      </c>
      <c r="O42" s="9" t="s">
        <v>220</v>
      </c>
      <c r="P42" s="9" t="s">
        <v>874</v>
      </c>
      <c r="Q42" s="9" t="s">
        <v>875</v>
      </c>
      <c r="R42" s="10" t="n">
        <v>1000</v>
      </c>
      <c r="S42" s="9" t="s">
        <v>86</v>
      </c>
      <c r="T42" s="9" t="s">
        <v>245</v>
      </c>
      <c r="U42" s="9" t="s">
        <v>220</v>
      </c>
      <c r="V42" s="24" t="n">
        <v>0.95</v>
      </c>
      <c r="W42" s="9" t="s">
        <v>874</v>
      </c>
      <c r="X42" s="9" t="str">
        <f aca="false">IF(S42="New","Human approval (new SKU)",IF(OR(S42&lt;&gt;"Existing",W42&lt;&gt;"Valid",V42&lt;Decision_Rules!$C$6),"Human review","Auto-processed"))</f>
        <v>Auto-processed</v>
      </c>
      <c r="Y42" s="5" t="s">
        <v>876</v>
      </c>
      <c r="Z42" s="9" t="n">
        <f aca="false">IF(M42=S42,1,0)</f>
        <v>1</v>
      </c>
      <c r="AA42" s="9" t="n">
        <f aca="false">IF(P42=W42,1,0)</f>
        <v>1</v>
      </c>
      <c r="AB42" s="9" t="n">
        <f aca="false">IF(O42=U42,1,0)</f>
        <v>1</v>
      </c>
      <c r="AC42" s="27" t="n">
        <v>1</v>
      </c>
    </row>
    <row r="43" customFormat="false" ht="15" hidden="false" customHeight="false" outlineLevel="0" collapsed="false">
      <c r="A43" s="9" t="s">
        <v>943</v>
      </c>
      <c r="B43" s="9" t="s">
        <v>558</v>
      </c>
      <c r="C43" s="9" t="s">
        <v>746</v>
      </c>
      <c r="D43" s="9" t="n">
        <v>1</v>
      </c>
      <c r="E43" s="9" t="s">
        <v>284</v>
      </c>
      <c r="F43" s="9" t="s">
        <v>285</v>
      </c>
      <c r="G43" s="10" t="n">
        <v>120</v>
      </c>
      <c r="H43" s="9" t="s">
        <v>220</v>
      </c>
      <c r="I43" s="9" t="s">
        <v>286</v>
      </c>
      <c r="J43" s="9" t="s">
        <v>287</v>
      </c>
      <c r="K43" s="23" t="n">
        <v>4.8</v>
      </c>
      <c r="L43" s="10" t="n">
        <v>120</v>
      </c>
      <c r="M43" s="9" t="s">
        <v>86</v>
      </c>
      <c r="N43" s="9" t="s">
        <v>284</v>
      </c>
      <c r="O43" s="9" t="s">
        <v>220</v>
      </c>
      <c r="P43" s="9" t="s">
        <v>874</v>
      </c>
      <c r="Q43" s="9" t="s">
        <v>875</v>
      </c>
      <c r="R43" s="10" t="n">
        <v>120</v>
      </c>
      <c r="S43" s="9" t="s">
        <v>86</v>
      </c>
      <c r="T43" s="9" t="s">
        <v>284</v>
      </c>
      <c r="U43" s="9" t="s">
        <v>220</v>
      </c>
      <c r="V43" s="24" t="n">
        <v>0.97</v>
      </c>
      <c r="W43" s="9" t="s">
        <v>874</v>
      </c>
      <c r="X43" s="9" t="str">
        <f aca="false">IF(S43="New","Human approval (new SKU)",IF(OR(S43&lt;&gt;"Existing",W43&lt;&gt;"Valid",V43&lt;Decision_Rules!$C$6),"Human review","Auto-processed"))</f>
        <v>Auto-processed</v>
      </c>
      <c r="Y43" s="5" t="s">
        <v>876</v>
      </c>
      <c r="Z43" s="9" t="n">
        <f aca="false">IF(M43=S43,1,0)</f>
        <v>1</v>
      </c>
      <c r="AA43" s="9" t="n">
        <f aca="false">IF(P43=W43,1,0)</f>
        <v>1</v>
      </c>
      <c r="AB43" s="9" t="n">
        <f aca="false">IF(O43=U43,1,0)</f>
        <v>1</v>
      </c>
      <c r="AC43" s="27" t="n">
        <v>1</v>
      </c>
    </row>
    <row r="44" customFormat="false" ht="15" hidden="false" customHeight="false" outlineLevel="0" collapsed="false">
      <c r="A44" s="9" t="s">
        <v>944</v>
      </c>
      <c r="B44" s="9" t="s">
        <v>558</v>
      </c>
      <c r="C44" s="9" t="s">
        <v>746</v>
      </c>
      <c r="D44" s="9" t="n">
        <v>2</v>
      </c>
      <c r="E44" s="9" t="s">
        <v>297</v>
      </c>
      <c r="F44" s="9" t="s">
        <v>298</v>
      </c>
      <c r="G44" s="10" t="n">
        <v>150</v>
      </c>
      <c r="H44" s="9" t="s">
        <v>220</v>
      </c>
      <c r="I44" s="9" t="s">
        <v>286</v>
      </c>
      <c r="J44" s="9" t="s">
        <v>287</v>
      </c>
      <c r="K44" s="23" t="n">
        <v>13.5</v>
      </c>
      <c r="L44" s="10" t="n">
        <v>150</v>
      </c>
      <c r="M44" s="9" t="s">
        <v>86</v>
      </c>
      <c r="N44" s="9" t="s">
        <v>297</v>
      </c>
      <c r="O44" s="9" t="s">
        <v>220</v>
      </c>
      <c r="P44" s="9" t="s">
        <v>874</v>
      </c>
      <c r="Q44" s="9" t="s">
        <v>875</v>
      </c>
      <c r="R44" s="10" t="n">
        <v>150</v>
      </c>
      <c r="S44" s="9" t="s">
        <v>86</v>
      </c>
      <c r="T44" s="9" t="s">
        <v>297</v>
      </c>
      <c r="U44" s="9" t="s">
        <v>220</v>
      </c>
      <c r="V44" s="24" t="n">
        <v>0.95</v>
      </c>
      <c r="W44" s="9" t="s">
        <v>874</v>
      </c>
      <c r="X44" s="9" t="str">
        <f aca="false">IF(S44="New","Human approval (new SKU)",IF(OR(S44&lt;&gt;"Existing",W44&lt;&gt;"Valid",V44&lt;Decision_Rules!$C$6),"Human review","Auto-processed"))</f>
        <v>Auto-processed</v>
      </c>
      <c r="Y44" s="5" t="s">
        <v>876</v>
      </c>
      <c r="Z44" s="9" t="n">
        <f aca="false">IF(M44=S44,1,0)</f>
        <v>1</v>
      </c>
      <c r="AA44" s="9" t="n">
        <f aca="false">IF(P44=W44,1,0)</f>
        <v>1</v>
      </c>
      <c r="AB44" s="9" t="n">
        <f aca="false">IF(O44=U44,1,0)</f>
        <v>1</v>
      </c>
      <c r="AC44" s="27" t="n">
        <v>1</v>
      </c>
    </row>
    <row r="45" customFormat="false" ht="15" hidden="false" customHeight="false" outlineLevel="0" collapsed="false">
      <c r="A45" s="9" t="s">
        <v>945</v>
      </c>
      <c r="B45" s="9" t="s">
        <v>558</v>
      </c>
      <c r="C45" s="9" t="s">
        <v>746</v>
      </c>
      <c r="D45" s="9" t="n">
        <v>3</v>
      </c>
      <c r="E45" s="9" t="s">
        <v>302</v>
      </c>
      <c r="F45" s="9" t="s">
        <v>303</v>
      </c>
      <c r="G45" s="10" t="n">
        <v>120</v>
      </c>
      <c r="H45" s="9" t="s">
        <v>220</v>
      </c>
      <c r="I45" s="9" t="s">
        <v>304</v>
      </c>
      <c r="J45" s="9" t="s">
        <v>287</v>
      </c>
      <c r="K45" s="23" t="n">
        <v>12</v>
      </c>
      <c r="L45" s="10" t="n">
        <v>120</v>
      </c>
      <c r="M45" s="9" t="s">
        <v>86</v>
      </c>
      <c r="N45" s="9" t="s">
        <v>302</v>
      </c>
      <c r="O45" s="9" t="s">
        <v>220</v>
      </c>
      <c r="P45" s="9" t="s">
        <v>874</v>
      </c>
      <c r="Q45" s="9" t="s">
        <v>875</v>
      </c>
      <c r="R45" s="10" t="n">
        <v>120</v>
      </c>
      <c r="S45" s="9" t="s">
        <v>86</v>
      </c>
      <c r="T45" s="9" t="s">
        <v>302</v>
      </c>
      <c r="U45" s="9" t="s">
        <v>220</v>
      </c>
      <c r="V45" s="24" t="n">
        <v>0.98</v>
      </c>
      <c r="W45" s="9" t="s">
        <v>874</v>
      </c>
      <c r="X45" s="9" t="str">
        <f aca="false">IF(S45="New","Human approval (new SKU)",IF(OR(S45&lt;&gt;"Existing",W45&lt;&gt;"Valid",V45&lt;Decision_Rules!$C$6),"Human review","Auto-processed"))</f>
        <v>Auto-processed</v>
      </c>
      <c r="Y45" s="5" t="s">
        <v>876</v>
      </c>
      <c r="Z45" s="9" t="n">
        <f aca="false">IF(M45=S45,1,0)</f>
        <v>1</v>
      </c>
      <c r="AA45" s="9" t="n">
        <f aca="false">IF(P45=W45,1,0)</f>
        <v>1</v>
      </c>
      <c r="AB45" s="9" t="n">
        <f aca="false">IF(O45=U45,1,0)</f>
        <v>1</v>
      </c>
      <c r="AC45" s="27" t="n">
        <v>1</v>
      </c>
    </row>
    <row r="46" customFormat="false" ht="15" hidden="false" customHeight="false" outlineLevel="0" collapsed="false">
      <c r="A46" s="9" t="s">
        <v>946</v>
      </c>
      <c r="B46" s="9" t="s">
        <v>558</v>
      </c>
      <c r="C46" s="9" t="s">
        <v>746</v>
      </c>
      <c r="D46" s="9" t="n">
        <v>4</v>
      </c>
      <c r="E46" s="9" t="s">
        <v>292</v>
      </c>
      <c r="F46" s="9" t="s">
        <v>293</v>
      </c>
      <c r="G46" s="10" t="n">
        <v>100</v>
      </c>
      <c r="H46" s="9" t="s">
        <v>220</v>
      </c>
      <c r="I46" s="9" t="s">
        <v>294</v>
      </c>
      <c r="J46" s="9" t="s">
        <v>287</v>
      </c>
      <c r="K46" s="23" t="n">
        <v>30</v>
      </c>
      <c r="L46" s="10" t="n">
        <v>100</v>
      </c>
      <c r="M46" s="9" t="s">
        <v>86</v>
      </c>
      <c r="N46" s="9" t="s">
        <v>292</v>
      </c>
      <c r="O46" s="9" t="s">
        <v>220</v>
      </c>
      <c r="P46" s="9" t="s">
        <v>874</v>
      </c>
      <c r="Q46" s="9" t="s">
        <v>875</v>
      </c>
      <c r="R46" s="10" t="n">
        <v>100</v>
      </c>
      <c r="S46" s="9" t="s">
        <v>86</v>
      </c>
      <c r="T46" s="9" t="s">
        <v>292</v>
      </c>
      <c r="U46" s="9" t="s">
        <v>220</v>
      </c>
      <c r="V46" s="24" t="n">
        <v>0.95</v>
      </c>
      <c r="W46" s="9" t="s">
        <v>874</v>
      </c>
      <c r="X46" s="9" t="str">
        <f aca="false">IF(S46="New","Human approval (new SKU)",IF(OR(S46&lt;&gt;"Existing",W46&lt;&gt;"Valid",V46&lt;Decision_Rules!$C$6),"Human review","Auto-processed"))</f>
        <v>Auto-processed</v>
      </c>
      <c r="Y46" s="5" t="s">
        <v>876</v>
      </c>
      <c r="Z46" s="9" t="n">
        <f aca="false">IF(M46=S46,1,0)</f>
        <v>1</v>
      </c>
      <c r="AA46" s="9" t="n">
        <f aca="false">IF(P46=W46,1,0)</f>
        <v>1</v>
      </c>
      <c r="AB46" s="9" t="n">
        <f aca="false">IF(O46=U46,1,0)</f>
        <v>1</v>
      </c>
      <c r="AC46" s="27" t="n">
        <v>1</v>
      </c>
    </row>
    <row r="47" customFormat="false" ht="15" hidden="false" customHeight="false" outlineLevel="0" collapsed="false">
      <c r="A47" s="9" t="s">
        <v>947</v>
      </c>
      <c r="B47" s="9" t="s">
        <v>565</v>
      </c>
      <c r="C47" s="9" t="s">
        <v>752</v>
      </c>
      <c r="D47" s="9" t="n">
        <v>1</v>
      </c>
      <c r="E47" s="9" t="s">
        <v>380</v>
      </c>
      <c r="F47" s="9" t="s">
        <v>381</v>
      </c>
      <c r="G47" s="10" t="n">
        <v>100</v>
      </c>
      <c r="H47" s="9" t="s">
        <v>220</v>
      </c>
      <c r="I47" s="9" t="s">
        <v>382</v>
      </c>
      <c r="J47" s="9" t="s">
        <v>374</v>
      </c>
      <c r="K47" s="23" t="n">
        <v>100</v>
      </c>
      <c r="L47" s="10" t="n">
        <v>100</v>
      </c>
      <c r="M47" s="9" t="s">
        <v>86</v>
      </c>
      <c r="N47" s="9" t="s">
        <v>380</v>
      </c>
      <c r="O47" s="9" t="s">
        <v>220</v>
      </c>
      <c r="P47" s="9" t="s">
        <v>874</v>
      </c>
      <c r="Q47" s="9" t="s">
        <v>875</v>
      </c>
      <c r="R47" s="10" t="n">
        <v>100</v>
      </c>
      <c r="S47" s="9" t="s">
        <v>86</v>
      </c>
      <c r="T47" s="9" t="s">
        <v>380</v>
      </c>
      <c r="U47" s="9" t="s">
        <v>220</v>
      </c>
      <c r="V47" s="24" t="n">
        <v>0.99</v>
      </c>
      <c r="W47" s="9" t="s">
        <v>874</v>
      </c>
      <c r="X47" s="9" t="str">
        <f aca="false">IF(S47="New","Human approval (new SKU)",IF(OR(S47&lt;&gt;"Existing",W47&lt;&gt;"Valid",V47&lt;Decision_Rules!$C$6),"Human review","Auto-processed"))</f>
        <v>Auto-processed</v>
      </c>
      <c r="Y47" s="5" t="s">
        <v>876</v>
      </c>
      <c r="Z47" s="9" t="n">
        <f aca="false">IF(M47=S47,1,0)</f>
        <v>1</v>
      </c>
      <c r="AA47" s="9" t="n">
        <f aca="false">IF(P47=W47,1,0)</f>
        <v>1</v>
      </c>
      <c r="AB47" s="9" t="n">
        <f aca="false">IF(O47=U47,1,0)</f>
        <v>1</v>
      </c>
      <c r="AC47" s="27" t="n">
        <v>1</v>
      </c>
    </row>
    <row r="48" customFormat="false" ht="15" hidden="false" customHeight="false" outlineLevel="0" collapsed="false">
      <c r="A48" s="9" t="s">
        <v>948</v>
      </c>
      <c r="B48" s="9" t="s">
        <v>565</v>
      </c>
      <c r="C48" s="9" t="s">
        <v>752</v>
      </c>
      <c r="D48" s="9" t="n">
        <v>2</v>
      </c>
      <c r="E48" s="9" t="s">
        <v>388</v>
      </c>
      <c r="F48" s="9" t="s">
        <v>389</v>
      </c>
      <c r="G48" s="29"/>
      <c r="H48" s="9" t="s">
        <v>220</v>
      </c>
      <c r="I48" s="9" t="s">
        <v>390</v>
      </c>
      <c r="J48" s="9" t="s">
        <v>374</v>
      </c>
      <c r="K48" s="23" t="n">
        <v>168</v>
      </c>
      <c r="L48" s="10" t="n">
        <v>240</v>
      </c>
      <c r="M48" s="9" t="s">
        <v>86</v>
      </c>
      <c r="N48" s="9" t="s">
        <v>388</v>
      </c>
      <c r="O48" s="9" t="s">
        <v>220</v>
      </c>
      <c r="P48" s="9" t="s">
        <v>949</v>
      </c>
      <c r="Q48" s="9" t="s">
        <v>950</v>
      </c>
      <c r="R48" s="10"/>
      <c r="S48" s="9" t="s">
        <v>86</v>
      </c>
      <c r="T48" s="9" t="s">
        <v>388</v>
      </c>
      <c r="U48" s="9" t="s">
        <v>220</v>
      </c>
      <c r="V48" s="24" t="n">
        <v>0.97</v>
      </c>
      <c r="W48" s="9" t="s">
        <v>949</v>
      </c>
      <c r="X48" s="9" t="str">
        <f aca="false">IF(S48="New","Human approval (new SKU)",IF(OR(S48&lt;&gt;"Existing",W48&lt;&gt;"Valid",V48&lt;Decision_Rules!$C$6),"Human review","Auto-processed"))</f>
        <v>Human review</v>
      </c>
      <c r="Y48" s="5" t="s">
        <v>951</v>
      </c>
      <c r="Z48" s="9" t="n">
        <f aca="false">IF(M48=S48,1,0)</f>
        <v>1</v>
      </c>
      <c r="AA48" s="9" t="n">
        <f aca="false">IF(P48=W48,1,0)</f>
        <v>1</v>
      </c>
      <c r="AB48" s="9" t="n">
        <f aca="false">IF(O48=U48,1,0)</f>
        <v>1</v>
      </c>
      <c r="AC48" s="27" t="n">
        <v>1</v>
      </c>
    </row>
    <row r="49" customFormat="false" ht="15" hidden="false" customHeight="false" outlineLevel="0" collapsed="false">
      <c r="A49" s="9" t="s">
        <v>952</v>
      </c>
      <c r="B49" s="9" t="s">
        <v>565</v>
      </c>
      <c r="C49" s="9" t="s">
        <v>752</v>
      </c>
      <c r="D49" s="9" t="n">
        <v>3</v>
      </c>
      <c r="E49" s="9" t="s">
        <v>399</v>
      </c>
      <c r="F49" s="9" t="s">
        <v>400</v>
      </c>
      <c r="G49" s="10" t="n">
        <v>300</v>
      </c>
      <c r="H49" s="9" t="s">
        <v>220</v>
      </c>
      <c r="I49" s="9" t="s">
        <v>401</v>
      </c>
      <c r="J49" s="9" t="s">
        <v>374</v>
      </c>
      <c r="K49" s="23" t="n">
        <v>135</v>
      </c>
      <c r="L49" s="10" t="n">
        <v>300</v>
      </c>
      <c r="M49" s="9" t="s">
        <v>86</v>
      </c>
      <c r="N49" s="9" t="s">
        <v>399</v>
      </c>
      <c r="O49" s="9" t="s">
        <v>220</v>
      </c>
      <c r="P49" s="9" t="s">
        <v>874</v>
      </c>
      <c r="Q49" s="9" t="s">
        <v>875</v>
      </c>
      <c r="R49" s="10" t="n">
        <v>300</v>
      </c>
      <c r="S49" s="9" t="s">
        <v>86</v>
      </c>
      <c r="T49" s="9" t="s">
        <v>399</v>
      </c>
      <c r="U49" s="9" t="s">
        <v>220</v>
      </c>
      <c r="V49" s="24" t="n">
        <v>0.98</v>
      </c>
      <c r="W49" s="9" t="s">
        <v>874</v>
      </c>
      <c r="X49" s="9" t="str">
        <f aca="false">IF(S49="New","Human approval (new SKU)",IF(OR(S49&lt;&gt;"Existing",W49&lt;&gt;"Valid",V49&lt;Decision_Rules!$C$6),"Human review","Auto-processed"))</f>
        <v>Auto-processed</v>
      </c>
      <c r="Y49" s="5" t="s">
        <v>876</v>
      </c>
      <c r="Z49" s="9" t="n">
        <f aca="false">IF(M49=S49,1,0)</f>
        <v>1</v>
      </c>
      <c r="AA49" s="9" t="n">
        <f aca="false">IF(P49=W49,1,0)</f>
        <v>1</v>
      </c>
      <c r="AB49" s="9" t="n">
        <f aca="false">IF(O49=U49,1,0)</f>
        <v>1</v>
      </c>
      <c r="AC49" s="27" t="n">
        <v>1</v>
      </c>
    </row>
    <row r="50" customFormat="false" ht="22.35" hidden="false" customHeight="false" outlineLevel="0" collapsed="false">
      <c r="A50" s="9" t="s">
        <v>953</v>
      </c>
      <c r="B50" s="9" t="s">
        <v>571</v>
      </c>
      <c r="C50" s="9" t="s">
        <v>757</v>
      </c>
      <c r="D50" s="9" t="n">
        <v>1</v>
      </c>
      <c r="E50" s="9" t="s">
        <v>954</v>
      </c>
      <c r="F50" s="9" t="s">
        <v>372</v>
      </c>
      <c r="G50" s="10" t="n">
        <v>400</v>
      </c>
      <c r="H50" s="9" t="s">
        <v>955</v>
      </c>
      <c r="I50" s="9" t="s">
        <v>327</v>
      </c>
      <c r="J50" s="9" t="s">
        <v>374</v>
      </c>
      <c r="K50" s="23" t="n">
        <v>140</v>
      </c>
      <c r="L50" s="10" t="n">
        <v>400</v>
      </c>
      <c r="M50" s="9" t="s">
        <v>86</v>
      </c>
      <c r="N50" s="9" t="s">
        <v>371</v>
      </c>
      <c r="O50" s="9" t="s">
        <v>220</v>
      </c>
      <c r="P50" s="9" t="s">
        <v>874</v>
      </c>
      <c r="Q50" s="9" t="s">
        <v>956</v>
      </c>
      <c r="R50" s="10" t="n">
        <v>400</v>
      </c>
      <c r="S50" s="9" t="s">
        <v>86</v>
      </c>
      <c r="T50" s="9" t="s">
        <v>371</v>
      </c>
      <c r="U50" s="9" t="s">
        <v>220</v>
      </c>
      <c r="V50" s="24" t="n">
        <v>0.91</v>
      </c>
      <c r="W50" s="9" t="s">
        <v>874</v>
      </c>
      <c r="X50" s="9" t="str">
        <f aca="false">IF(S50="New","Human approval (new SKU)",IF(OR(S50&lt;&gt;"Existing",W50&lt;&gt;"Valid",V50&lt;Decision_Rules!$C$6),"Human review","Auto-processed"))</f>
        <v>Auto-processed</v>
      </c>
      <c r="Y50" s="5" t="s">
        <v>957</v>
      </c>
      <c r="Z50" s="9" t="n">
        <f aca="false">IF(M50=S50,1,0)</f>
        <v>1</v>
      </c>
      <c r="AA50" s="9" t="n">
        <f aca="false">IF(P50=W50,1,0)</f>
        <v>1</v>
      </c>
      <c r="AB50" s="9" t="n">
        <f aca="false">IF(O50=U50,1,0)</f>
        <v>1</v>
      </c>
      <c r="AC50" s="27" t="n">
        <v>1</v>
      </c>
    </row>
    <row r="51" customFormat="false" ht="15" hidden="false" customHeight="false" outlineLevel="0" collapsed="false">
      <c r="A51" s="9" t="s">
        <v>958</v>
      </c>
      <c r="B51" s="9" t="s">
        <v>571</v>
      </c>
      <c r="C51" s="9" t="s">
        <v>757</v>
      </c>
      <c r="D51" s="9" t="n">
        <v>2</v>
      </c>
      <c r="E51" s="9" t="s">
        <v>380</v>
      </c>
      <c r="F51" s="9" t="s">
        <v>381</v>
      </c>
      <c r="G51" s="10" t="n">
        <v>120</v>
      </c>
      <c r="H51" s="9" t="s">
        <v>955</v>
      </c>
      <c r="I51" s="9" t="s">
        <v>382</v>
      </c>
      <c r="J51" s="9" t="s">
        <v>374</v>
      </c>
      <c r="K51" s="23" t="n">
        <v>120</v>
      </c>
      <c r="L51" s="10" t="n">
        <v>120</v>
      </c>
      <c r="M51" s="9" t="s">
        <v>86</v>
      </c>
      <c r="N51" s="9" t="s">
        <v>380</v>
      </c>
      <c r="O51" s="9" t="s">
        <v>220</v>
      </c>
      <c r="P51" s="9" t="s">
        <v>874</v>
      </c>
      <c r="Q51" s="9" t="s">
        <v>959</v>
      </c>
      <c r="R51" s="10" t="n">
        <v>120</v>
      </c>
      <c r="S51" s="9" t="s">
        <v>86</v>
      </c>
      <c r="T51" s="9" t="s">
        <v>380</v>
      </c>
      <c r="U51" s="9" t="s">
        <v>220</v>
      </c>
      <c r="V51" s="24" t="n">
        <v>0.95</v>
      </c>
      <c r="W51" s="9" t="s">
        <v>874</v>
      </c>
      <c r="X51" s="9" t="str">
        <f aca="false">IF(S51="New","Human approval (new SKU)",IF(OR(S51&lt;&gt;"Existing",W51&lt;&gt;"Valid",V51&lt;Decision_Rules!$C$6),"Human review","Auto-processed"))</f>
        <v>Auto-processed</v>
      </c>
      <c r="Y51" s="5" t="s">
        <v>960</v>
      </c>
      <c r="Z51" s="9" t="n">
        <f aca="false">IF(M51=S51,1,0)</f>
        <v>1</v>
      </c>
      <c r="AA51" s="9" t="n">
        <f aca="false">IF(P51=W51,1,0)</f>
        <v>1</v>
      </c>
      <c r="AB51" s="9" t="n">
        <f aca="false">IF(O51=U51,1,0)</f>
        <v>1</v>
      </c>
      <c r="AC51" s="27" t="n">
        <v>1</v>
      </c>
    </row>
    <row r="52" customFormat="false" ht="15" hidden="false" customHeight="false" outlineLevel="0" collapsed="false">
      <c r="A52" s="9" t="s">
        <v>961</v>
      </c>
      <c r="B52" s="9" t="s">
        <v>571</v>
      </c>
      <c r="C52" s="9" t="s">
        <v>757</v>
      </c>
      <c r="D52" s="9" t="n">
        <v>3</v>
      </c>
      <c r="E52" s="9" t="s">
        <v>399</v>
      </c>
      <c r="F52" s="9" t="s">
        <v>400</v>
      </c>
      <c r="G52" s="10" t="n">
        <v>200</v>
      </c>
      <c r="H52" s="9" t="s">
        <v>955</v>
      </c>
      <c r="I52" s="9" t="s">
        <v>401</v>
      </c>
      <c r="J52" s="9" t="s">
        <v>374</v>
      </c>
      <c r="K52" s="23" t="n">
        <v>90</v>
      </c>
      <c r="L52" s="10" t="n">
        <v>200</v>
      </c>
      <c r="M52" s="9" t="s">
        <v>86</v>
      </c>
      <c r="N52" s="9" t="s">
        <v>399</v>
      </c>
      <c r="O52" s="9" t="s">
        <v>220</v>
      </c>
      <c r="P52" s="9" t="s">
        <v>874</v>
      </c>
      <c r="Q52" s="9" t="s">
        <v>959</v>
      </c>
      <c r="R52" s="10" t="n">
        <v>200</v>
      </c>
      <c r="S52" s="9" t="s">
        <v>86</v>
      </c>
      <c r="T52" s="9" t="s">
        <v>399</v>
      </c>
      <c r="U52" s="9" t="s">
        <v>220</v>
      </c>
      <c r="V52" s="24" t="n">
        <v>0.97</v>
      </c>
      <c r="W52" s="9" t="s">
        <v>874</v>
      </c>
      <c r="X52" s="9" t="str">
        <f aca="false">IF(S52="New","Human approval (new SKU)",IF(OR(S52&lt;&gt;"Existing",W52&lt;&gt;"Valid",V52&lt;Decision_Rules!$C$6),"Human review","Auto-processed"))</f>
        <v>Auto-processed</v>
      </c>
      <c r="Y52" s="5" t="s">
        <v>960</v>
      </c>
      <c r="Z52" s="9" t="n">
        <f aca="false">IF(M52=S52,1,0)</f>
        <v>1</v>
      </c>
      <c r="AA52" s="9" t="n">
        <f aca="false">IF(P52=W52,1,0)</f>
        <v>1</v>
      </c>
      <c r="AB52" s="9" t="n">
        <f aca="false">IF(O52=U52,1,0)</f>
        <v>1</v>
      </c>
      <c r="AC52" s="27" t="n">
        <v>1</v>
      </c>
    </row>
    <row r="53" customFormat="false" ht="15" hidden="false" customHeight="false" outlineLevel="0" collapsed="false">
      <c r="A53" s="9" t="s">
        <v>962</v>
      </c>
      <c r="B53" s="9" t="s">
        <v>577</v>
      </c>
      <c r="C53" s="9" t="s">
        <v>761</v>
      </c>
      <c r="D53" s="9" t="n">
        <v>1</v>
      </c>
      <c r="E53" s="9" t="s">
        <v>354</v>
      </c>
      <c r="F53" s="9" t="s">
        <v>355</v>
      </c>
      <c r="G53" s="10" t="n">
        <v>400</v>
      </c>
      <c r="H53" s="9" t="s">
        <v>220</v>
      </c>
      <c r="I53" s="9" t="s">
        <v>356</v>
      </c>
      <c r="J53" s="9" t="s">
        <v>331</v>
      </c>
      <c r="K53" s="23" t="n">
        <v>520</v>
      </c>
      <c r="L53" s="10" t="n">
        <v>400</v>
      </c>
      <c r="M53" s="9" t="s">
        <v>86</v>
      </c>
      <c r="N53" s="9" t="s">
        <v>354</v>
      </c>
      <c r="O53" s="9" t="s">
        <v>220</v>
      </c>
      <c r="P53" s="9" t="s">
        <v>874</v>
      </c>
      <c r="Q53" s="9" t="s">
        <v>875</v>
      </c>
      <c r="R53" s="10" t="n">
        <v>400</v>
      </c>
      <c r="S53" s="9" t="s">
        <v>86</v>
      </c>
      <c r="T53" s="9" t="s">
        <v>354</v>
      </c>
      <c r="U53" s="9" t="s">
        <v>220</v>
      </c>
      <c r="V53" s="24" t="n">
        <v>0.98</v>
      </c>
      <c r="W53" s="9" t="s">
        <v>874</v>
      </c>
      <c r="X53" s="9" t="str">
        <f aca="false">IF(S53="New","Human approval (new SKU)",IF(OR(S53&lt;&gt;"Existing",W53&lt;&gt;"Valid",V53&lt;Decision_Rules!$C$6),"Human review","Auto-processed"))</f>
        <v>Auto-processed</v>
      </c>
      <c r="Y53" s="5" t="s">
        <v>876</v>
      </c>
      <c r="Z53" s="9" t="n">
        <f aca="false">IF(M53=S53,1,0)</f>
        <v>1</v>
      </c>
      <c r="AA53" s="9" t="n">
        <f aca="false">IF(P53=W53,1,0)</f>
        <v>1</v>
      </c>
      <c r="AB53" s="9" t="n">
        <f aca="false">IF(O53=U53,1,0)</f>
        <v>1</v>
      </c>
      <c r="AC53" s="27" t="n">
        <v>1</v>
      </c>
    </row>
    <row r="54" customFormat="false" ht="15" hidden="false" customHeight="false" outlineLevel="0" collapsed="false">
      <c r="A54" s="9" t="s">
        <v>963</v>
      </c>
      <c r="B54" s="9" t="s">
        <v>577</v>
      </c>
      <c r="C54" s="9" t="s">
        <v>761</v>
      </c>
      <c r="D54" s="9" t="n">
        <v>2</v>
      </c>
      <c r="E54" s="9" t="s">
        <v>357</v>
      </c>
      <c r="F54" s="9" t="s">
        <v>358</v>
      </c>
      <c r="G54" s="10" t="n">
        <v>300</v>
      </c>
      <c r="H54" s="9" t="s">
        <v>220</v>
      </c>
      <c r="I54" s="9" t="s">
        <v>359</v>
      </c>
      <c r="J54" s="9" t="s">
        <v>331</v>
      </c>
      <c r="K54" s="23" t="n">
        <v>420</v>
      </c>
      <c r="L54" s="10" t="n">
        <v>300</v>
      </c>
      <c r="M54" s="9" t="s">
        <v>86</v>
      </c>
      <c r="N54" s="9" t="s">
        <v>357</v>
      </c>
      <c r="O54" s="9" t="s">
        <v>220</v>
      </c>
      <c r="P54" s="9" t="s">
        <v>874</v>
      </c>
      <c r="Q54" s="9" t="s">
        <v>875</v>
      </c>
      <c r="R54" s="10" t="n">
        <v>300</v>
      </c>
      <c r="S54" s="9" t="s">
        <v>86</v>
      </c>
      <c r="T54" s="9" t="s">
        <v>357</v>
      </c>
      <c r="U54" s="9" t="s">
        <v>220</v>
      </c>
      <c r="V54" s="24" t="n">
        <v>0.98</v>
      </c>
      <c r="W54" s="9" t="s">
        <v>874</v>
      </c>
      <c r="X54" s="9" t="str">
        <f aca="false">IF(S54="New","Human approval (new SKU)",IF(OR(S54&lt;&gt;"Existing",W54&lt;&gt;"Valid",V54&lt;Decision_Rules!$C$6),"Human review","Auto-processed"))</f>
        <v>Auto-processed</v>
      </c>
      <c r="Y54" s="5" t="s">
        <v>876</v>
      </c>
      <c r="Z54" s="9" t="n">
        <f aca="false">IF(M54=S54,1,0)</f>
        <v>1</v>
      </c>
      <c r="AA54" s="9" t="n">
        <f aca="false">IF(P54=W54,1,0)</f>
        <v>1</v>
      </c>
      <c r="AB54" s="9" t="n">
        <f aca="false">IF(O54=U54,1,0)</f>
        <v>1</v>
      </c>
      <c r="AC54" s="27" t="n">
        <v>1</v>
      </c>
    </row>
    <row r="55" customFormat="false" ht="15" hidden="false" customHeight="false" outlineLevel="0" collapsed="false">
      <c r="A55" s="9" t="s">
        <v>964</v>
      </c>
      <c r="B55" s="9" t="s">
        <v>577</v>
      </c>
      <c r="C55" s="9" t="s">
        <v>761</v>
      </c>
      <c r="D55" s="9" t="n">
        <v>3</v>
      </c>
      <c r="E55" s="9" t="s">
        <v>368</v>
      </c>
      <c r="F55" s="9" t="s">
        <v>369</v>
      </c>
      <c r="G55" s="10" t="n">
        <v>120</v>
      </c>
      <c r="H55" s="9" t="s">
        <v>220</v>
      </c>
      <c r="I55" s="9" t="s">
        <v>370</v>
      </c>
      <c r="J55" s="9" t="s">
        <v>331</v>
      </c>
      <c r="K55" s="23" t="n">
        <v>132</v>
      </c>
      <c r="L55" s="10" t="n">
        <v>120</v>
      </c>
      <c r="M55" s="9" t="s">
        <v>86</v>
      </c>
      <c r="N55" s="9" t="s">
        <v>368</v>
      </c>
      <c r="O55" s="9" t="s">
        <v>220</v>
      </c>
      <c r="P55" s="9" t="s">
        <v>874</v>
      </c>
      <c r="Q55" s="9" t="s">
        <v>875</v>
      </c>
      <c r="R55" s="10" t="n">
        <v>120</v>
      </c>
      <c r="S55" s="9" t="s">
        <v>86</v>
      </c>
      <c r="T55" s="9" t="s">
        <v>368</v>
      </c>
      <c r="U55" s="9" t="s">
        <v>220</v>
      </c>
      <c r="V55" s="24" t="n">
        <v>0.98</v>
      </c>
      <c r="W55" s="9" t="s">
        <v>874</v>
      </c>
      <c r="X55" s="9" t="str">
        <f aca="false">IF(S55="New","Human approval (new SKU)",IF(OR(S55&lt;&gt;"Existing",W55&lt;&gt;"Valid",V55&lt;Decision_Rules!$C$6),"Human review","Auto-processed"))</f>
        <v>Auto-processed</v>
      </c>
      <c r="Y55" s="5" t="s">
        <v>876</v>
      </c>
      <c r="Z55" s="9" t="n">
        <f aca="false">IF(M55=S55,1,0)</f>
        <v>1</v>
      </c>
      <c r="AA55" s="9" t="n">
        <f aca="false">IF(P55=W55,1,0)</f>
        <v>1</v>
      </c>
      <c r="AB55" s="9" t="n">
        <f aca="false">IF(O55=U55,1,0)</f>
        <v>1</v>
      </c>
      <c r="AC55" s="27" t="n">
        <v>1</v>
      </c>
    </row>
    <row r="56" customFormat="false" ht="15" hidden="false" customHeight="false" outlineLevel="0" collapsed="false">
      <c r="A56" s="9" t="s">
        <v>965</v>
      </c>
      <c r="B56" s="9" t="s">
        <v>584</v>
      </c>
      <c r="C56" s="9" t="s">
        <v>767</v>
      </c>
      <c r="D56" s="9" t="n">
        <v>1</v>
      </c>
      <c r="E56" s="9" t="s">
        <v>333</v>
      </c>
      <c r="F56" s="9" t="s">
        <v>334</v>
      </c>
      <c r="G56" s="10" t="n">
        <v>150</v>
      </c>
      <c r="H56" s="9" t="s">
        <v>220</v>
      </c>
      <c r="I56" s="9" t="s">
        <v>335</v>
      </c>
      <c r="J56" s="9" t="s">
        <v>222</v>
      </c>
      <c r="K56" s="23" t="n">
        <v>150</v>
      </c>
      <c r="L56" s="10"/>
      <c r="M56" s="9" t="s">
        <v>86</v>
      </c>
      <c r="N56" s="9" t="s">
        <v>333</v>
      </c>
      <c r="O56" s="9" t="s">
        <v>220</v>
      </c>
      <c r="P56" s="9" t="s">
        <v>874</v>
      </c>
      <c r="Q56" s="9" t="s">
        <v>875</v>
      </c>
      <c r="R56" s="10" t="n">
        <v>150</v>
      </c>
      <c r="S56" s="9" t="s">
        <v>86</v>
      </c>
      <c r="T56" s="9" t="s">
        <v>333</v>
      </c>
      <c r="U56" s="9" t="s">
        <v>220</v>
      </c>
      <c r="V56" s="24" t="n">
        <v>0.97</v>
      </c>
      <c r="W56" s="9" t="s">
        <v>874</v>
      </c>
      <c r="X56" s="9" t="str">
        <f aca="false">IF(S56="New","Human approval (new SKU)",IF(OR(S56&lt;&gt;"Existing",W56&lt;&gt;"Valid",V56&lt;Decision_Rules!$C$6),"Human review","Auto-processed"))</f>
        <v>Auto-processed</v>
      </c>
      <c r="Y56" s="5" t="s">
        <v>876</v>
      </c>
      <c r="Z56" s="9" t="n">
        <f aca="false">IF(M56=S56,1,0)</f>
        <v>1</v>
      </c>
      <c r="AA56" s="9" t="n">
        <f aca="false">IF(P56=W56,1,0)</f>
        <v>1</v>
      </c>
      <c r="AB56" s="9" t="n">
        <f aca="false">IF(O56=U56,1,0)</f>
        <v>1</v>
      </c>
      <c r="AC56" s="27" t="n">
        <v>1</v>
      </c>
    </row>
    <row r="57" customFormat="false" ht="15" hidden="false" customHeight="false" outlineLevel="0" collapsed="false">
      <c r="A57" s="9" t="s">
        <v>966</v>
      </c>
      <c r="B57" s="9" t="s">
        <v>584</v>
      </c>
      <c r="C57" s="9" t="s">
        <v>767</v>
      </c>
      <c r="D57" s="9" t="n">
        <v>2</v>
      </c>
      <c r="E57" s="9" t="s">
        <v>319</v>
      </c>
      <c r="F57" s="9" t="s">
        <v>320</v>
      </c>
      <c r="G57" s="10" t="n">
        <v>200</v>
      </c>
      <c r="H57" s="9" t="s">
        <v>220</v>
      </c>
      <c r="I57" s="9" t="s">
        <v>322</v>
      </c>
      <c r="J57" s="9" t="s">
        <v>222</v>
      </c>
      <c r="K57" s="23" t="n">
        <v>220</v>
      </c>
      <c r="L57" s="10"/>
      <c r="M57" s="9" t="s">
        <v>86</v>
      </c>
      <c r="N57" s="9" t="s">
        <v>319</v>
      </c>
      <c r="O57" s="9" t="s">
        <v>220</v>
      </c>
      <c r="P57" s="9" t="s">
        <v>874</v>
      </c>
      <c r="Q57" s="9" t="s">
        <v>875</v>
      </c>
      <c r="R57" s="10" t="n">
        <v>200</v>
      </c>
      <c r="S57" s="9" t="s">
        <v>86</v>
      </c>
      <c r="T57" s="9" t="s">
        <v>319</v>
      </c>
      <c r="U57" s="9" t="s">
        <v>220</v>
      </c>
      <c r="V57" s="24" t="n">
        <v>0.97</v>
      </c>
      <c r="W57" s="9" t="s">
        <v>874</v>
      </c>
      <c r="X57" s="9" t="str">
        <f aca="false">IF(S57="New","Human approval (new SKU)",IF(OR(S57&lt;&gt;"Existing",W57&lt;&gt;"Valid",V57&lt;Decision_Rules!$C$6),"Human review","Auto-processed"))</f>
        <v>Auto-processed</v>
      </c>
      <c r="Y57" s="5" t="s">
        <v>876</v>
      </c>
      <c r="Z57" s="9" t="n">
        <f aca="false">IF(M57=S57,1,0)</f>
        <v>1</v>
      </c>
      <c r="AA57" s="9" t="n">
        <f aca="false">IF(P57=W57,1,0)</f>
        <v>1</v>
      </c>
      <c r="AB57" s="9" t="n">
        <f aca="false">IF(O57=U57,1,0)</f>
        <v>1</v>
      </c>
      <c r="AC57" s="27" t="n">
        <v>1</v>
      </c>
    </row>
    <row r="58" customFormat="false" ht="15" hidden="false" customHeight="false" outlineLevel="0" collapsed="false">
      <c r="A58" s="9" t="s">
        <v>967</v>
      </c>
      <c r="B58" s="9" t="s">
        <v>584</v>
      </c>
      <c r="C58" s="9" t="s">
        <v>767</v>
      </c>
      <c r="D58" s="9" t="n">
        <v>3</v>
      </c>
      <c r="E58" s="9" t="s">
        <v>360</v>
      </c>
      <c r="F58" s="9" t="s">
        <v>361</v>
      </c>
      <c r="G58" s="10" t="n">
        <v>120</v>
      </c>
      <c r="H58" s="9" t="s">
        <v>220</v>
      </c>
      <c r="I58" s="9" t="s">
        <v>362</v>
      </c>
      <c r="J58" s="9" t="s">
        <v>222</v>
      </c>
      <c r="K58" s="23" t="n">
        <v>72</v>
      </c>
      <c r="L58" s="10"/>
      <c r="M58" s="9" t="s">
        <v>86</v>
      </c>
      <c r="N58" s="9" t="s">
        <v>360</v>
      </c>
      <c r="O58" s="9" t="s">
        <v>220</v>
      </c>
      <c r="P58" s="9" t="s">
        <v>874</v>
      </c>
      <c r="Q58" s="9" t="s">
        <v>875</v>
      </c>
      <c r="R58" s="10" t="n">
        <v>120</v>
      </c>
      <c r="S58" s="9" t="s">
        <v>86</v>
      </c>
      <c r="T58" s="9" t="s">
        <v>360</v>
      </c>
      <c r="U58" s="9" t="s">
        <v>220</v>
      </c>
      <c r="V58" s="24" t="n">
        <v>0.96</v>
      </c>
      <c r="W58" s="9" t="s">
        <v>874</v>
      </c>
      <c r="X58" s="9" t="str">
        <f aca="false">IF(S58="New","Human approval (new SKU)",IF(OR(S58&lt;&gt;"Existing",W58&lt;&gt;"Valid",V58&lt;Decision_Rules!$C$6),"Human review","Auto-processed"))</f>
        <v>Auto-processed</v>
      </c>
      <c r="Y58" s="5" t="s">
        <v>876</v>
      </c>
      <c r="Z58" s="9" t="n">
        <f aca="false">IF(M58=S58,1,0)</f>
        <v>1</v>
      </c>
      <c r="AA58" s="9" t="n">
        <f aca="false">IF(P58=W58,1,0)</f>
        <v>1</v>
      </c>
      <c r="AB58" s="9" t="n">
        <f aca="false">IF(O58=U58,1,0)</f>
        <v>1</v>
      </c>
      <c r="AC58" s="27" t="n">
        <v>1</v>
      </c>
    </row>
    <row r="59" customFormat="false" ht="15" hidden="false" customHeight="false" outlineLevel="0" collapsed="false">
      <c r="A59" s="9" t="s">
        <v>968</v>
      </c>
      <c r="B59" s="9" t="s">
        <v>590</v>
      </c>
      <c r="C59" s="9" t="s">
        <v>769</v>
      </c>
      <c r="D59" s="9" t="n">
        <v>1</v>
      </c>
      <c r="E59" s="9" t="s">
        <v>344</v>
      </c>
      <c r="F59" s="9" t="s">
        <v>345</v>
      </c>
      <c r="G59" s="10" t="n">
        <v>500</v>
      </c>
      <c r="H59" s="9" t="s">
        <v>220</v>
      </c>
      <c r="I59" s="9" t="s">
        <v>346</v>
      </c>
      <c r="J59" s="9" t="s">
        <v>222</v>
      </c>
      <c r="K59" s="23" t="n">
        <v>250</v>
      </c>
      <c r="L59" s="10" t="n">
        <v>500</v>
      </c>
      <c r="M59" s="9" t="s">
        <v>86</v>
      </c>
      <c r="N59" s="9" t="s">
        <v>344</v>
      </c>
      <c r="O59" s="9" t="s">
        <v>220</v>
      </c>
      <c r="P59" s="9" t="s">
        <v>874</v>
      </c>
      <c r="Q59" s="9" t="s">
        <v>875</v>
      </c>
      <c r="R59" s="10" t="n">
        <v>500</v>
      </c>
      <c r="S59" s="9" t="s">
        <v>86</v>
      </c>
      <c r="T59" s="9" t="s">
        <v>344</v>
      </c>
      <c r="U59" s="9" t="s">
        <v>220</v>
      </c>
      <c r="V59" s="24" t="n">
        <v>0.96</v>
      </c>
      <c r="W59" s="9" t="s">
        <v>874</v>
      </c>
      <c r="X59" s="9" t="str">
        <f aca="false">IF(S59="New","Human approval (new SKU)",IF(OR(S59&lt;&gt;"Existing",W59&lt;&gt;"Valid",V59&lt;Decision_Rules!$C$6),"Human review","Auto-processed"))</f>
        <v>Auto-processed</v>
      </c>
      <c r="Y59" s="5" t="s">
        <v>876</v>
      </c>
      <c r="Z59" s="9" t="n">
        <f aca="false">IF(M59=S59,1,0)</f>
        <v>1</v>
      </c>
      <c r="AA59" s="9" t="n">
        <f aca="false">IF(P59=W59,1,0)</f>
        <v>1</v>
      </c>
      <c r="AB59" s="9" t="n">
        <f aca="false">IF(O59=U59,1,0)</f>
        <v>1</v>
      </c>
      <c r="AC59" s="27" t="n">
        <v>1</v>
      </c>
    </row>
    <row r="60" customFormat="false" ht="15" hidden="false" customHeight="false" outlineLevel="0" collapsed="false">
      <c r="A60" s="9" t="s">
        <v>969</v>
      </c>
      <c r="B60" s="9" t="s">
        <v>590</v>
      </c>
      <c r="C60" s="9" t="s">
        <v>769</v>
      </c>
      <c r="D60" s="9" t="n">
        <v>2</v>
      </c>
      <c r="E60" s="9" t="s">
        <v>347</v>
      </c>
      <c r="F60" s="9" t="s">
        <v>348</v>
      </c>
      <c r="G60" s="10" t="n">
        <v>50</v>
      </c>
      <c r="H60" s="9" t="s">
        <v>349</v>
      </c>
      <c r="I60" s="9" t="s">
        <v>350</v>
      </c>
      <c r="J60" s="9" t="s">
        <v>222</v>
      </c>
      <c r="K60" s="23" t="n">
        <v>12.5</v>
      </c>
      <c r="L60" s="10" t="n">
        <v>50</v>
      </c>
      <c r="M60" s="9" t="s">
        <v>86</v>
      </c>
      <c r="N60" s="9" t="s">
        <v>347</v>
      </c>
      <c r="O60" s="9" t="s">
        <v>349</v>
      </c>
      <c r="P60" s="9" t="s">
        <v>874</v>
      </c>
      <c r="Q60" s="9" t="s">
        <v>875</v>
      </c>
      <c r="R60" s="10" t="n">
        <v>50</v>
      </c>
      <c r="S60" s="9" t="s">
        <v>86</v>
      </c>
      <c r="T60" s="9" t="s">
        <v>347</v>
      </c>
      <c r="U60" s="9" t="s">
        <v>349</v>
      </c>
      <c r="V60" s="24" t="n">
        <v>0.98</v>
      </c>
      <c r="W60" s="9" t="s">
        <v>874</v>
      </c>
      <c r="X60" s="9" t="str">
        <f aca="false">IF(S60="New","Human approval (new SKU)",IF(OR(S60&lt;&gt;"Existing",W60&lt;&gt;"Valid",V60&lt;Decision_Rules!$C$6),"Human review","Auto-processed"))</f>
        <v>Auto-processed</v>
      </c>
      <c r="Y60" s="5" t="s">
        <v>876</v>
      </c>
      <c r="Z60" s="9" t="n">
        <f aca="false">IF(M60=S60,1,0)</f>
        <v>1</v>
      </c>
      <c r="AA60" s="9" t="n">
        <f aca="false">IF(P60=W60,1,0)</f>
        <v>1</v>
      </c>
      <c r="AB60" s="9" t="n">
        <f aca="false">IF(O60=U60,1,0)</f>
        <v>1</v>
      </c>
      <c r="AC60" s="27" t="n">
        <v>1</v>
      </c>
    </row>
    <row r="61" customFormat="false" ht="15" hidden="false" customHeight="false" outlineLevel="0" collapsed="false">
      <c r="A61" s="9" t="s">
        <v>970</v>
      </c>
      <c r="B61" s="9" t="s">
        <v>590</v>
      </c>
      <c r="C61" s="9" t="s">
        <v>769</v>
      </c>
      <c r="D61" s="9" t="n">
        <v>3</v>
      </c>
      <c r="E61" s="9" t="s">
        <v>336</v>
      </c>
      <c r="F61" s="9" t="s">
        <v>337</v>
      </c>
      <c r="G61" s="10" t="n">
        <v>240</v>
      </c>
      <c r="H61" s="9" t="s">
        <v>326</v>
      </c>
      <c r="I61" s="9" t="s">
        <v>338</v>
      </c>
      <c r="J61" s="9" t="s">
        <v>222</v>
      </c>
      <c r="K61" s="23" t="n">
        <v>384</v>
      </c>
      <c r="L61" s="10" t="n">
        <v>240</v>
      </c>
      <c r="M61" s="9" t="s">
        <v>86</v>
      </c>
      <c r="N61" s="9" t="s">
        <v>336</v>
      </c>
      <c r="O61" s="9" t="s">
        <v>326</v>
      </c>
      <c r="P61" s="9" t="s">
        <v>874</v>
      </c>
      <c r="Q61" s="9" t="s">
        <v>875</v>
      </c>
      <c r="R61" s="10" t="n">
        <v>240</v>
      </c>
      <c r="S61" s="9" t="s">
        <v>86</v>
      </c>
      <c r="T61" s="9" t="s">
        <v>336</v>
      </c>
      <c r="U61" s="9" t="s">
        <v>326</v>
      </c>
      <c r="V61" s="24" t="n">
        <v>0.95</v>
      </c>
      <c r="W61" s="9" t="s">
        <v>874</v>
      </c>
      <c r="X61" s="9" t="str">
        <f aca="false">IF(S61="New","Human approval (new SKU)",IF(OR(S61&lt;&gt;"Existing",W61&lt;&gt;"Valid",V61&lt;Decision_Rules!$C$6),"Human review","Auto-processed"))</f>
        <v>Auto-processed</v>
      </c>
      <c r="Y61" s="5" t="s">
        <v>876</v>
      </c>
      <c r="Z61" s="9" t="n">
        <f aca="false">IF(M61=S61,1,0)</f>
        <v>1</v>
      </c>
      <c r="AA61" s="9" t="n">
        <f aca="false">IF(P61=W61,1,0)</f>
        <v>1</v>
      </c>
      <c r="AB61" s="9" t="n">
        <f aca="false">IF(O61=U61,1,0)</f>
        <v>1</v>
      </c>
      <c r="AC61" s="27" t="n">
        <v>1</v>
      </c>
    </row>
    <row r="62" customFormat="false" ht="15" hidden="false" customHeight="false" outlineLevel="0" collapsed="false">
      <c r="A62" s="9" t="s">
        <v>971</v>
      </c>
      <c r="B62" s="9" t="s">
        <v>590</v>
      </c>
      <c r="C62" s="9" t="s">
        <v>769</v>
      </c>
      <c r="D62" s="9" t="n">
        <v>4</v>
      </c>
      <c r="E62" s="9" t="s">
        <v>972</v>
      </c>
      <c r="F62" s="9" t="s">
        <v>973</v>
      </c>
      <c r="G62" s="10" t="n">
        <v>400</v>
      </c>
      <c r="H62" s="9" t="s">
        <v>326</v>
      </c>
      <c r="I62" s="9" t="s">
        <v>974</v>
      </c>
      <c r="J62" s="9" t="s">
        <v>222</v>
      </c>
      <c r="K62" s="23" t="n">
        <v>120</v>
      </c>
      <c r="L62" s="10" t="n">
        <v>400</v>
      </c>
      <c r="M62" s="9" t="s">
        <v>87</v>
      </c>
      <c r="N62" s="9" t="s">
        <v>915</v>
      </c>
      <c r="O62" s="9" t="s">
        <v>326</v>
      </c>
      <c r="P62" s="9" t="s">
        <v>874</v>
      </c>
      <c r="Q62" s="9" t="s">
        <v>916</v>
      </c>
      <c r="R62" s="10" t="n">
        <v>400</v>
      </c>
      <c r="S62" s="9" t="s">
        <v>87</v>
      </c>
      <c r="T62" s="9" t="s">
        <v>917</v>
      </c>
      <c r="U62" s="9" t="s">
        <v>326</v>
      </c>
      <c r="V62" s="24" t="n">
        <v>0.94</v>
      </c>
      <c r="W62" s="9" t="s">
        <v>874</v>
      </c>
      <c r="X62" s="9" t="str">
        <f aca="false">IF(S62="New","Human approval (new SKU)",IF(OR(S62&lt;&gt;"Existing",W62&lt;&gt;"Valid",V62&lt;Decision_Rules!$C$6),"Human review","Auto-processed"))</f>
        <v>Human approval (new SKU)</v>
      </c>
      <c r="Y62" s="5" t="s">
        <v>975</v>
      </c>
      <c r="Z62" s="9" t="n">
        <f aca="false">IF(M62=S62,1,0)</f>
        <v>1</v>
      </c>
      <c r="AA62" s="9" t="n">
        <f aca="false">IF(P62=W62,1,0)</f>
        <v>1</v>
      </c>
      <c r="AB62" s="9" t="n">
        <f aca="false">IF(O62=U62,1,0)</f>
        <v>1</v>
      </c>
      <c r="AC62" s="27" t="n">
        <v>1</v>
      </c>
    </row>
    <row r="63" customFormat="false" ht="15" hidden="false" customHeight="false" outlineLevel="0" collapsed="false">
      <c r="A63" s="9" t="s">
        <v>976</v>
      </c>
      <c r="B63" s="9" t="s">
        <v>596</v>
      </c>
      <c r="C63" s="9" t="s">
        <v>775</v>
      </c>
      <c r="D63" s="9" t="n">
        <v>1</v>
      </c>
      <c r="E63" s="9" t="s">
        <v>419</v>
      </c>
      <c r="F63" s="9" t="s">
        <v>420</v>
      </c>
      <c r="G63" s="10" t="n">
        <v>200</v>
      </c>
      <c r="H63" s="9" t="s">
        <v>220</v>
      </c>
      <c r="I63" s="9" t="s">
        <v>422</v>
      </c>
      <c r="J63" s="9" t="s">
        <v>423</v>
      </c>
      <c r="K63" s="23" t="n">
        <v>210</v>
      </c>
      <c r="L63" s="10" t="n">
        <v>200</v>
      </c>
      <c r="M63" s="9" t="s">
        <v>86</v>
      </c>
      <c r="N63" s="9" t="s">
        <v>419</v>
      </c>
      <c r="O63" s="9" t="s">
        <v>220</v>
      </c>
      <c r="P63" s="9" t="s">
        <v>904</v>
      </c>
      <c r="Q63" s="9" t="s">
        <v>977</v>
      </c>
      <c r="R63" s="10" t="n">
        <v>200</v>
      </c>
      <c r="S63" s="9" t="s">
        <v>86</v>
      </c>
      <c r="T63" s="9" t="s">
        <v>419</v>
      </c>
      <c r="U63" s="9" t="s">
        <v>220</v>
      </c>
      <c r="V63" s="24" t="n">
        <v>0.99</v>
      </c>
      <c r="W63" s="9" t="s">
        <v>904</v>
      </c>
      <c r="X63" s="9" t="str">
        <f aca="false">IF(S63="New","Human approval (new SKU)",IF(OR(S63&lt;&gt;"Existing",W63&lt;&gt;"Valid",V63&lt;Decision_Rules!$C$6),"Human review","Auto-processed"))</f>
        <v>Human review</v>
      </c>
      <c r="Y63" s="5" t="s">
        <v>978</v>
      </c>
      <c r="Z63" s="9" t="n">
        <f aca="false">IF(M63=S63,1,0)</f>
        <v>1</v>
      </c>
      <c r="AA63" s="9" t="n">
        <f aca="false">IF(P63=W63,1,0)</f>
        <v>1</v>
      </c>
      <c r="AB63" s="9" t="n">
        <f aca="false">IF(O63=U63,1,0)</f>
        <v>1</v>
      </c>
      <c r="AC63" s="27" t="n">
        <v>1</v>
      </c>
    </row>
    <row r="64" customFormat="false" ht="15" hidden="false" customHeight="false" outlineLevel="0" collapsed="false">
      <c r="A64" s="9" t="s">
        <v>979</v>
      </c>
      <c r="B64" s="9" t="s">
        <v>596</v>
      </c>
      <c r="C64" s="9" t="s">
        <v>775</v>
      </c>
      <c r="D64" s="9" t="n">
        <v>2</v>
      </c>
      <c r="E64" s="9" t="s">
        <v>428</v>
      </c>
      <c r="F64" s="9" t="s">
        <v>429</v>
      </c>
      <c r="G64" s="10" t="n">
        <v>40</v>
      </c>
      <c r="H64" s="9" t="s">
        <v>430</v>
      </c>
      <c r="I64" s="9" t="s">
        <v>431</v>
      </c>
      <c r="J64" s="9" t="s">
        <v>423</v>
      </c>
      <c r="K64" s="23" t="n">
        <v>112</v>
      </c>
      <c r="L64" s="10" t="n">
        <v>40</v>
      </c>
      <c r="M64" s="9" t="s">
        <v>86</v>
      </c>
      <c r="N64" s="9" t="s">
        <v>428</v>
      </c>
      <c r="O64" s="9" t="s">
        <v>430</v>
      </c>
      <c r="P64" s="9" t="s">
        <v>874</v>
      </c>
      <c r="Q64" s="9" t="s">
        <v>875</v>
      </c>
      <c r="R64" s="10" t="n">
        <v>40</v>
      </c>
      <c r="S64" s="9" t="s">
        <v>86</v>
      </c>
      <c r="T64" s="9" t="s">
        <v>428</v>
      </c>
      <c r="U64" s="9" t="s">
        <v>430</v>
      </c>
      <c r="V64" s="24" t="n">
        <v>0.96</v>
      </c>
      <c r="W64" s="9" t="s">
        <v>874</v>
      </c>
      <c r="X64" s="9" t="str">
        <f aca="false">IF(S64="New","Human approval (new SKU)",IF(OR(S64&lt;&gt;"Existing",W64&lt;&gt;"Valid",V64&lt;Decision_Rules!$C$6),"Human review","Auto-processed"))</f>
        <v>Auto-processed</v>
      </c>
      <c r="Y64" s="5" t="s">
        <v>876</v>
      </c>
      <c r="Z64" s="9" t="n">
        <f aca="false">IF(M64=S64,1,0)</f>
        <v>1</v>
      </c>
      <c r="AA64" s="9" t="n">
        <f aca="false">IF(P64=W64,1,0)</f>
        <v>1</v>
      </c>
      <c r="AB64" s="9" t="n">
        <f aca="false">IF(O64=U64,1,0)</f>
        <v>1</v>
      </c>
      <c r="AC64" s="27" t="n">
        <v>1</v>
      </c>
    </row>
    <row r="65" customFormat="false" ht="15" hidden="false" customHeight="false" outlineLevel="0" collapsed="false">
      <c r="A65" s="9" t="s">
        <v>980</v>
      </c>
      <c r="B65" s="9" t="s">
        <v>596</v>
      </c>
      <c r="C65" s="9" t="s">
        <v>775</v>
      </c>
      <c r="D65" s="9" t="n">
        <v>3</v>
      </c>
      <c r="E65" s="9" t="s">
        <v>435</v>
      </c>
      <c r="F65" s="9" t="s">
        <v>436</v>
      </c>
      <c r="G65" s="10" t="n">
        <v>600</v>
      </c>
      <c r="H65" s="9" t="s">
        <v>220</v>
      </c>
      <c r="I65" s="9" t="s">
        <v>437</v>
      </c>
      <c r="J65" s="9" t="s">
        <v>423</v>
      </c>
      <c r="K65" s="23" t="n">
        <v>96</v>
      </c>
      <c r="L65" s="10" t="n">
        <v>600</v>
      </c>
      <c r="M65" s="9" t="s">
        <v>86</v>
      </c>
      <c r="N65" s="9" t="s">
        <v>435</v>
      </c>
      <c r="O65" s="9" t="s">
        <v>220</v>
      </c>
      <c r="P65" s="9" t="s">
        <v>874</v>
      </c>
      <c r="Q65" s="9" t="s">
        <v>875</v>
      </c>
      <c r="R65" s="10" t="n">
        <v>600</v>
      </c>
      <c r="S65" s="9" t="s">
        <v>86</v>
      </c>
      <c r="T65" s="9" t="s">
        <v>435</v>
      </c>
      <c r="U65" s="9" t="s">
        <v>220</v>
      </c>
      <c r="V65" s="24" t="n">
        <v>0.98</v>
      </c>
      <c r="W65" s="9" t="s">
        <v>874</v>
      </c>
      <c r="X65" s="9" t="str">
        <f aca="false">IF(S65="New","Human approval (new SKU)",IF(OR(S65&lt;&gt;"Existing",W65&lt;&gt;"Valid",V65&lt;Decision_Rules!$C$6),"Human review","Auto-processed"))</f>
        <v>Auto-processed</v>
      </c>
      <c r="Y65" s="5" t="s">
        <v>876</v>
      </c>
      <c r="Z65" s="9" t="n">
        <f aca="false">IF(M65=S65,1,0)</f>
        <v>1</v>
      </c>
      <c r="AA65" s="9" t="n">
        <f aca="false">IF(P65=W65,1,0)</f>
        <v>1</v>
      </c>
      <c r="AB65" s="9" t="n">
        <f aca="false">IF(O65=U65,1,0)</f>
        <v>1</v>
      </c>
      <c r="AC65" s="27" t="n">
        <v>1</v>
      </c>
    </row>
    <row r="66" customFormat="false" ht="15" hidden="false" customHeight="false" outlineLevel="0" collapsed="false">
      <c r="A66" s="9" t="s">
        <v>981</v>
      </c>
      <c r="B66" s="9" t="s">
        <v>602</v>
      </c>
      <c r="C66" s="9" t="s">
        <v>781</v>
      </c>
      <c r="D66" s="9" t="n">
        <v>1</v>
      </c>
      <c r="E66" s="9" t="s">
        <v>385</v>
      </c>
      <c r="F66" s="9" t="s">
        <v>386</v>
      </c>
      <c r="G66" s="10" t="n">
        <v>240</v>
      </c>
      <c r="H66" s="9" t="s">
        <v>349</v>
      </c>
      <c r="I66" s="9" t="s">
        <v>387</v>
      </c>
      <c r="J66" s="9" t="s">
        <v>374</v>
      </c>
      <c r="K66" s="23" t="n">
        <v>19.2</v>
      </c>
      <c r="L66" s="10" t="n">
        <v>240</v>
      </c>
      <c r="M66" s="9" t="s">
        <v>86</v>
      </c>
      <c r="N66" s="9" t="s">
        <v>385</v>
      </c>
      <c r="O66" s="9" t="s">
        <v>349</v>
      </c>
      <c r="P66" s="9" t="s">
        <v>874</v>
      </c>
      <c r="Q66" s="9" t="s">
        <v>875</v>
      </c>
      <c r="R66" s="10" t="n">
        <v>240</v>
      </c>
      <c r="S66" s="9" t="s">
        <v>86</v>
      </c>
      <c r="T66" s="9" t="s">
        <v>385</v>
      </c>
      <c r="U66" s="9" t="s">
        <v>349</v>
      </c>
      <c r="V66" s="24" t="n">
        <v>0.98</v>
      </c>
      <c r="W66" s="9" t="s">
        <v>874</v>
      </c>
      <c r="X66" s="9" t="str">
        <f aca="false">IF(S66="New","Human approval (new SKU)",IF(OR(S66&lt;&gt;"Existing",W66&lt;&gt;"Valid",V66&lt;Decision_Rules!$C$6),"Human review","Auto-processed"))</f>
        <v>Auto-processed</v>
      </c>
      <c r="Y66" s="5" t="s">
        <v>876</v>
      </c>
      <c r="Z66" s="9" t="n">
        <f aca="false">IF(M66=S66,1,0)</f>
        <v>1</v>
      </c>
      <c r="AA66" s="9" t="n">
        <f aca="false">IF(P66=W66,1,0)</f>
        <v>1</v>
      </c>
      <c r="AB66" s="9" t="n">
        <f aca="false">IF(O66=U66,1,0)</f>
        <v>1</v>
      </c>
      <c r="AC66" s="27" t="n">
        <v>1</v>
      </c>
    </row>
    <row r="67" customFormat="false" ht="15" hidden="false" customHeight="false" outlineLevel="0" collapsed="false">
      <c r="A67" s="9" t="s">
        <v>982</v>
      </c>
      <c r="B67" s="9" t="s">
        <v>602</v>
      </c>
      <c r="C67" s="9" t="s">
        <v>781</v>
      </c>
      <c r="D67" s="9" t="n">
        <v>2</v>
      </c>
      <c r="E67" s="9" t="s">
        <v>391</v>
      </c>
      <c r="F67" s="9" t="s">
        <v>392</v>
      </c>
      <c r="G67" s="10" t="n">
        <v>600</v>
      </c>
      <c r="H67" s="9" t="s">
        <v>220</v>
      </c>
      <c r="I67" s="9" t="s">
        <v>393</v>
      </c>
      <c r="J67" s="9" t="s">
        <v>374</v>
      </c>
      <c r="K67" s="23" t="n">
        <v>240</v>
      </c>
      <c r="L67" s="10" t="n">
        <v>600</v>
      </c>
      <c r="M67" s="9" t="s">
        <v>86</v>
      </c>
      <c r="N67" s="9" t="s">
        <v>391</v>
      </c>
      <c r="O67" s="9" t="s">
        <v>220</v>
      </c>
      <c r="P67" s="9" t="s">
        <v>874</v>
      </c>
      <c r="Q67" s="9" t="s">
        <v>875</v>
      </c>
      <c r="R67" s="10" t="n">
        <v>600</v>
      </c>
      <c r="S67" s="9" t="s">
        <v>86</v>
      </c>
      <c r="T67" s="9" t="s">
        <v>391</v>
      </c>
      <c r="U67" s="9" t="s">
        <v>220</v>
      </c>
      <c r="V67" s="24" t="n">
        <v>0.96</v>
      </c>
      <c r="W67" s="9" t="s">
        <v>874</v>
      </c>
      <c r="X67" s="9" t="str">
        <f aca="false">IF(S67="New","Human approval (new SKU)",IF(OR(S67&lt;&gt;"Existing",W67&lt;&gt;"Valid",V67&lt;Decision_Rules!$C$6),"Human review","Auto-processed"))</f>
        <v>Auto-processed</v>
      </c>
      <c r="Y67" s="5" t="s">
        <v>876</v>
      </c>
      <c r="Z67" s="9" t="n">
        <f aca="false">IF(M67=S67,1,0)</f>
        <v>1</v>
      </c>
      <c r="AA67" s="9" t="n">
        <f aca="false">IF(P67=W67,1,0)</f>
        <v>1</v>
      </c>
      <c r="AB67" s="9" t="n">
        <f aca="false">IF(O67=U67,1,0)</f>
        <v>1</v>
      </c>
      <c r="AC67" s="27" t="n">
        <v>1</v>
      </c>
    </row>
    <row r="68" customFormat="false" ht="15" hidden="false" customHeight="false" outlineLevel="0" collapsed="false">
      <c r="A68" s="9" t="s">
        <v>983</v>
      </c>
      <c r="B68" s="9" t="s">
        <v>602</v>
      </c>
      <c r="C68" s="9" t="s">
        <v>781</v>
      </c>
      <c r="D68" s="9" t="n">
        <v>3</v>
      </c>
      <c r="E68" s="9" t="s">
        <v>984</v>
      </c>
      <c r="F68" s="9" t="s">
        <v>985</v>
      </c>
      <c r="G68" s="10" t="n">
        <v>300</v>
      </c>
      <c r="H68" s="9" t="s">
        <v>220</v>
      </c>
      <c r="I68" s="9" t="s">
        <v>327</v>
      </c>
      <c r="J68" s="9" t="s">
        <v>374</v>
      </c>
      <c r="K68" s="23" t="n">
        <v>84</v>
      </c>
      <c r="L68" s="10" t="n">
        <v>300</v>
      </c>
      <c r="M68" s="9" t="s">
        <v>88</v>
      </c>
      <c r="N68" s="9" t="s">
        <v>986</v>
      </c>
      <c r="O68" s="9" t="s">
        <v>220</v>
      </c>
      <c r="P68" s="9" t="s">
        <v>874</v>
      </c>
      <c r="Q68" s="9" t="s">
        <v>987</v>
      </c>
      <c r="R68" s="10" t="n">
        <v>300</v>
      </c>
      <c r="S68" s="9" t="s">
        <v>88</v>
      </c>
      <c r="T68" s="9" t="s">
        <v>988</v>
      </c>
      <c r="U68" s="9" t="s">
        <v>220</v>
      </c>
      <c r="V68" s="24" t="n">
        <v>0.68</v>
      </c>
      <c r="W68" s="9" t="s">
        <v>874</v>
      </c>
      <c r="X68" s="9" t="str">
        <f aca="false">IF(S68="New","Human approval (new SKU)",IF(OR(S68&lt;&gt;"Existing",W68&lt;&gt;"Valid",V68&lt;Decision_Rules!$C$6),"Human review","Auto-processed"))</f>
        <v>Human review</v>
      </c>
      <c r="Y68" s="5" t="s">
        <v>989</v>
      </c>
      <c r="Z68" s="9" t="n">
        <f aca="false">IF(M68=S68,1,0)</f>
        <v>1</v>
      </c>
      <c r="AA68" s="9" t="n">
        <f aca="false">IF(P68=W68,1,0)</f>
        <v>1</v>
      </c>
      <c r="AB68" s="9" t="n">
        <f aca="false">IF(O68=U68,1,0)</f>
        <v>1</v>
      </c>
      <c r="AC68" s="27" t="n">
        <v>1</v>
      </c>
    </row>
    <row r="69" customFormat="false" ht="15" hidden="false" customHeight="false" outlineLevel="0" collapsed="false">
      <c r="A69" s="9" t="s">
        <v>990</v>
      </c>
      <c r="B69" s="9" t="s">
        <v>602</v>
      </c>
      <c r="C69" s="9" t="s">
        <v>781</v>
      </c>
      <c r="D69" s="9" t="n">
        <v>4</v>
      </c>
      <c r="E69" s="9" t="s">
        <v>405</v>
      </c>
      <c r="F69" s="9" t="s">
        <v>406</v>
      </c>
      <c r="G69" s="10" t="n">
        <v>150</v>
      </c>
      <c r="H69" s="9" t="s">
        <v>220</v>
      </c>
      <c r="I69" s="9" t="s">
        <v>407</v>
      </c>
      <c r="J69" s="9" t="s">
        <v>374</v>
      </c>
      <c r="K69" s="23" t="n">
        <v>45</v>
      </c>
      <c r="L69" s="10" t="n">
        <v>150</v>
      </c>
      <c r="M69" s="9" t="s">
        <v>86</v>
      </c>
      <c r="N69" s="9" t="s">
        <v>405</v>
      </c>
      <c r="O69" s="9" t="s">
        <v>220</v>
      </c>
      <c r="P69" s="9" t="s">
        <v>874</v>
      </c>
      <c r="Q69" s="9" t="s">
        <v>875</v>
      </c>
      <c r="R69" s="10" t="n">
        <v>150</v>
      </c>
      <c r="S69" s="9" t="s">
        <v>86</v>
      </c>
      <c r="T69" s="9" t="s">
        <v>405</v>
      </c>
      <c r="U69" s="9" t="s">
        <v>220</v>
      </c>
      <c r="V69" s="24" t="n">
        <v>0.98</v>
      </c>
      <c r="W69" s="9" t="s">
        <v>874</v>
      </c>
      <c r="X69" s="9" t="str">
        <f aca="false">IF(S69="New","Human approval (new SKU)",IF(OR(S69&lt;&gt;"Existing",W69&lt;&gt;"Valid",V69&lt;Decision_Rules!$C$6),"Human review","Auto-processed"))</f>
        <v>Auto-processed</v>
      </c>
      <c r="Y69" s="5" t="s">
        <v>876</v>
      </c>
      <c r="Z69" s="9" t="n">
        <f aca="false">IF(M69=S69,1,0)</f>
        <v>1</v>
      </c>
      <c r="AA69" s="9" t="n">
        <f aca="false">IF(P69=W69,1,0)</f>
        <v>1</v>
      </c>
      <c r="AB69" s="9" t="n">
        <f aca="false">IF(O69=U69,1,0)</f>
        <v>1</v>
      </c>
      <c r="AC69" s="27" t="n">
        <v>1</v>
      </c>
    </row>
    <row r="70" customFormat="false" ht="15" hidden="false" customHeight="false" outlineLevel="0" collapsed="false">
      <c r="A70" s="9" t="s">
        <v>991</v>
      </c>
      <c r="B70" s="9" t="s">
        <v>608</v>
      </c>
      <c r="C70" s="9" t="s">
        <v>785</v>
      </c>
      <c r="D70" s="9" t="n">
        <v>1</v>
      </c>
      <c r="E70" s="9" t="s">
        <v>305</v>
      </c>
      <c r="F70" s="9" t="s">
        <v>306</v>
      </c>
      <c r="G70" s="10" t="n">
        <v>200</v>
      </c>
      <c r="H70" s="9" t="s">
        <v>220</v>
      </c>
      <c r="I70" s="9" t="s">
        <v>307</v>
      </c>
      <c r="J70" s="9" t="s">
        <v>287</v>
      </c>
      <c r="K70" s="23" t="n">
        <v>40</v>
      </c>
      <c r="L70" s="10" t="n">
        <v>200</v>
      </c>
      <c r="M70" s="9" t="s">
        <v>86</v>
      </c>
      <c r="N70" s="9" t="s">
        <v>305</v>
      </c>
      <c r="O70" s="9" t="s">
        <v>220</v>
      </c>
      <c r="P70" s="9" t="s">
        <v>874</v>
      </c>
      <c r="Q70" s="9" t="s">
        <v>875</v>
      </c>
      <c r="R70" s="10" t="n">
        <v>200</v>
      </c>
      <c r="S70" s="9" t="s">
        <v>86</v>
      </c>
      <c r="T70" s="9" t="s">
        <v>305</v>
      </c>
      <c r="U70" s="9" t="s">
        <v>220</v>
      </c>
      <c r="V70" s="24" t="n">
        <v>0.97</v>
      </c>
      <c r="W70" s="9" t="s">
        <v>874</v>
      </c>
      <c r="X70" s="9" t="str">
        <f aca="false">IF(S70="New","Human approval (new SKU)",IF(OR(S70&lt;&gt;"Existing",W70&lt;&gt;"Valid",V70&lt;Decision_Rules!$C$6),"Human review","Auto-processed"))</f>
        <v>Auto-processed</v>
      </c>
      <c r="Y70" s="5" t="s">
        <v>876</v>
      </c>
      <c r="Z70" s="9" t="n">
        <f aca="false">IF(M70=S70,1,0)</f>
        <v>1</v>
      </c>
      <c r="AA70" s="9" t="n">
        <f aca="false">IF(P70=W70,1,0)</f>
        <v>1</v>
      </c>
      <c r="AB70" s="9" t="n">
        <f aca="false">IF(O70=U70,1,0)</f>
        <v>1</v>
      </c>
      <c r="AC70" s="27" t="n">
        <v>1</v>
      </c>
    </row>
    <row r="71" customFormat="false" ht="15" hidden="false" customHeight="false" outlineLevel="0" collapsed="false">
      <c r="A71" s="9" t="s">
        <v>992</v>
      </c>
      <c r="B71" s="9" t="s">
        <v>608</v>
      </c>
      <c r="C71" s="9" t="s">
        <v>785</v>
      </c>
      <c r="D71" s="9" t="n">
        <v>2</v>
      </c>
      <c r="E71" s="9" t="s">
        <v>308</v>
      </c>
      <c r="F71" s="9" t="s">
        <v>309</v>
      </c>
      <c r="G71" s="10" t="n">
        <v>150</v>
      </c>
      <c r="H71" s="9" t="s">
        <v>220</v>
      </c>
      <c r="I71" s="9" t="s">
        <v>310</v>
      </c>
      <c r="J71" s="9" t="s">
        <v>287</v>
      </c>
      <c r="K71" s="23" t="n">
        <v>7.5</v>
      </c>
      <c r="L71" s="10" t="n">
        <v>150</v>
      </c>
      <c r="M71" s="9" t="s">
        <v>86</v>
      </c>
      <c r="N71" s="9" t="s">
        <v>308</v>
      </c>
      <c r="O71" s="9" t="s">
        <v>220</v>
      </c>
      <c r="P71" s="9" t="s">
        <v>874</v>
      </c>
      <c r="Q71" s="9" t="s">
        <v>875</v>
      </c>
      <c r="R71" s="10" t="n">
        <v>150</v>
      </c>
      <c r="S71" s="9" t="s">
        <v>86</v>
      </c>
      <c r="T71" s="9" t="s">
        <v>308</v>
      </c>
      <c r="U71" s="9" t="s">
        <v>220</v>
      </c>
      <c r="V71" s="24" t="n">
        <v>0.96</v>
      </c>
      <c r="W71" s="9" t="s">
        <v>874</v>
      </c>
      <c r="X71" s="9" t="str">
        <f aca="false">IF(S71="New","Human approval (new SKU)",IF(OR(S71&lt;&gt;"Existing",W71&lt;&gt;"Valid",V71&lt;Decision_Rules!$C$6),"Human review","Auto-processed"))</f>
        <v>Auto-processed</v>
      </c>
      <c r="Y71" s="5" t="s">
        <v>876</v>
      </c>
      <c r="Z71" s="9" t="n">
        <f aca="false">IF(M71=S71,1,0)</f>
        <v>1</v>
      </c>
      <c r="AA71" s="9" t="n">
        <f aca="false">IF(P71=W71,1,0)</f>
        <v>1</v>
      </c>
      <c r="AB71" s="9" t="n">
        <f aca="false">IF(O71=U71,1,0)</f>
        <v>1</v>
      </c>
      <c r="AC71" s="27" t="n">
        <v>1</v>
      </c>
    </row>
    <row r="72" customFormat="false" ht="15" hidden="false" customHeight="false" outlineLevel="0" collapsed="false">
      <c r="A72" s="9" t="s">
        <v>993</v>
      </c>
      <c r="B72" s="9" t="s">
        <v>608</v>
      </c>
      <c r="C72" s="9" t="s">
        <v>785</v>
      </c>
      <c r="D72" s="9" t="n">
        <v>3</v>
      </c>
      <c r="E72" s="9" t="s">
        <v>289</v>
      </c>
      <c r="F72" s="9" t="s">
        <v>290</v>
      </c>
      <c r="G72" s="10" t="n">
        <v>100</v>
      </c>
      <c r="H72" s="9" t="s">
        <v>220</v>
      </c>
      <c r="I72" s="9" t="s">
        <v>291</v>
      </c>
      <c r="J72" s="9" t="s">
        <v>287</v>
      </c>
      <c r="K72" s="23" t="n">
        <v>3</v>
      </c>
      <c r="L72" s="10" t="n">
        <v>100</v>
      </c>
      <c r="M72" s="9" t="s">
        <v>86</v>
      </c>
      <c r="N72" s="9" t="s">
        <v>289</v>
      </c>
      <c r="O72" s="9" t="s">
        <v>220</v>
      </c>
      <c r="P72" s="9" t="s">
        <v>874</v>
      </c>
      <c r="Q72" s="9" t="s">
        <v>875</v>
      </c>
      <c r="R72" s="10" t="n">
        <v>100</v>
      </c>
      <c r="S72" s="9" t="s">
        <v>86</v>
      </c>
      <c r="T72" s="9" t="s">
        <v>289</v>
      </c>
      <c r="U72" s="9" t="s">
        <v>220</v>
      </c>
      <c r="V72" s="24" t="n">
        <v>0.98</v>
      </c>
      <c r="W72" s="9" t="s">
        <v>874</v>
      </c>
      <c r="X72" s="9" t="str">
        <f aca="false">IF(S72="New","Human approval (new SKU)",IF(OR(S72&lt;&gt;"Existing",W72&lt;&gt;"Valid",V72&lt;Decision_Rules!$C$6),"Human review","Auto-processed"))</f>
        <v>Auto-processed</v>
      </c>
      <c r="Y72" s="5" t="s">
        <v>876</v>
      </c>
      <c r="Z72" s="9" t="n">
        <f aca="false">IF(M72=S72,1,0)</f>
        <v>1</v>
      </c>
      <c r="AA72" s="9" t="n">
        <f aca="false">IF(P72=W72,1,0)</f>
        <v>1</v>
      </c>
      <c r="AB72" s="9" t="n">
        <f aca="false">IF(O72=U72,1,0)</f>
        <v>1</v>
      </c>
      <c r="AC72" s="27" t="n">
        <v>1</v>
      </c>
    </row>
    <row r="73" customFormat="false" ht="15" hidden="false" customHeight="false" outlineLevel="0" collapsed="false">
      <c r="A73" s="9" t="s">
        <v>994</v>
      </c>
      <c r="B73" s="9" t="s">
        <v>608</v>
      </c>
      <c r="C73" s="9" t="s">
        <v>785</v>
      </c>
      <c r="D73" s="9" t="n">
        <v>4</v>
      </c>
      <c r="E73" s="9" t="s">
        <v>302</v>
      </c>
      <c r="F73" s="9" t="s">
        <v>303</v>
      </c>
      <c r="G73" s="10" t="n">
        <v>100</v>
      </c>
      <c r="H73" s="9" t="s">
        <v>220</v>
      </c>
      <c r="I73" s="9" t="s">
        <v>304</v>
      </c>
      <c r="J73" s="9" t="s">
        <v>287</v>
      </c>
      <c r="K73" s="23" t="n">
        <v>10</v>
      </c>
      <c r="L73" s="10" t="n">
        <v>100</v>
      </c>
      <c r="M73" s="9" t="s">
        <v>86</v>
      </c>
      <c r="N73" s="9" t="s">
        <v>302</v>
      </c>
      <c r="O73" s="9" t="s">
        <v>220</v>
      </c>
      <c r="P73" s="9" t="s">
        <v>874</v>
      </c>
      <c r="Q73" s="9" t="s">
        <v>875</v>
      </c>
      <c r="R73" s="10" t="n">
        <v>100</v>
      </c>
      <c r="S73" s="9" t="s">
        <v>86</v>
      </c>
      <c r="T73" s="9" t="s">
        <v>302</v>
      </c>
      <c r="U73" s="9" t="s">
        <v>220</v>
      </c>
      <c r="V73" s="24" t="n">
        <v>0.97</v>
      </c>
      <c r="W73" s="9" t="s">
        <v>874</v>
      </c>
      <c r="X73" s="9" t="str">
        <f aca="false">IF(S73="New","Human approval (new SKU)",IF(OR(S73&lt;&gt;"Existing",W73&lt;&gt;"Valid",V73&lt;Decision_Rules!$C$6),"Human review","Auto-processed"))</f>
        <v>Auto-processed</v>
      </c>
      <c r="Y73" s="5" t="s">
        <v>876</v>
      </c>
      <c r="Z73" s="9" t="n">
        <f aca="false">IF(M73=S73,1,0)</f>
        <v>1</v>
      </c>
      <c r="AA73" s="9" t="n">
        <f aca="false">IF(P73=W73,1,0)</f>
        <v>1</v>
      </c>
      <c r="AB73" s="9" t="n">
        <f aca="false">IF(O73=U73,1,0)</f>
        <v>1</v>
      </c>
      <c r="AC73" s="27" t="n">
        <v>1</v>
      </c>
    </row>
    <row r="74" customFormat="false" ht="15" hidden="false" customHeight="false" outlineLevel="0" collapsed="false">
      <c r="A74" s="9" t="s">
        <v>995</v>
      </c>
      <c r="B74" s="9" t="s">
        <v>608</v>
      </c>
      <c r="C74" s="9" t="s">
        <v>785</v>
      </c>
      <c r="D74" s="9" t="n">
        <v>5</v>
      </c>
      <c r="E74" s="9" t="s">
        <v>308</v>
      </c>
      <c r="F74" s="9" t="s">
        <v>309</v>
      </c>
      <c r="G74" s="10" t="n">
        <v>150</v>
      </c>
      <c r="H74" s="9" t="s">
        <v>220</v>
      </c>
      <c r="I74" s="9" t="s">
        <v>310</v>
      </c>
      <c r="J74" s="9" t="s">
        <v>287</v>
      </c>
      <c r="K74" s="23" t="n">
        <v>7.5</v>
      </c>
      <c r="L74" s="10" t="n">
        <v>150</v>
      </c>
      <c r="M74" s="9" t="s">
        <v>86</v>
      </c>
      <c r="N74" s="9" t="s">
        <v>308</v>
      </c>
      <c r="O74" s="9" t="s">
        <v>220</v>
      </c>
      <c r="P74" s="9" t="s">
        <v>996</v>
      </c>
      <c r="Q74" s="9" t="s">
        <v>997</v>
      </c>
      <c r="R74" s="10" t="n">
        <v>150</v>
      </c>
      <c r="S74" s="9" t="s">
        <v>86</v>
      </c>
      <c r="T74" s="9" t="s">
        <v>308</v>
      </c>
      <c r="U74" s="9" t="s">
        <v>220</v>
      </c>
      <c r="V74" s="24" t="n">
        <v>0.96</v>
      </c>
      <c r="W74" s="9" t="s">
        <v>996</v>
      </c>
      <c r="X74" s="9" t="str">
        <f aca="false">IF(S74="New","Human approval (new SKU)",IF(OR(S74&lt;&gt;"Existing",W74&lt;&gt;"Valid",V74&lt;Decision_Rules!$C$6),"Human review","Auto-processed"))</f>
        <v>Human review</v>
      </c>
      <c r="Y74" s="5" t="s">
        <v>998</v>
      </c>
      <c r="Z74" s="9" t="n">
        <f aca="false">IF(M74=S74,1,0)</f>
        <v>1</v>
      </c>
      <c r="AA74" s="9" t="n">
        <f aca="false">IF(P74=W74,1,0)</f>
        <v>1</v>
      </c>
      <c r="AB74" s="9" t="n">
        <f aca="false">IF(O74=U74,1,0)</f>
        <v>1</v>
      </c>
      <c r="AC74" s="27" t="n">
        <v>1</v>
      </c>
    </row>
    <row r="75" customFormat="false" ht="15" hidden="false" customHeight="false" outlineLevel="0" collapsed="false">
      <c r="A75" s="9" t="s">
        <v>999</v>
      </c>
      <c r="B75" s="9" t="s">
        <v>614</v>
      </c>
      <c r="C75" s="9" t="s">
        <v>791</v>
      </c>
      <c r="D75" s="9" t="n">
        <v>1</v>
      </c>
      <c r="E75" s="9" t="s">
        <v>253</v>
      </c>
      <c r="F75" s="9" t="s">
        <v>254</v>
      </c>
      <c r="G75" s="10" t="n">
        <v>600</v>
      </c>
      <c r="H75" s="9" t="s">
        <v>220</v>
      </c>
      <c r="I75" s="9" t="s">
        <v>250</v>
      </c>
      <c r="J75" s="9" t="s">
        <v>251</v>
      </c>
      <c r="K75" s="23" t="n">
        <v>252</v>
      </c>
      <c r="L75" s="10" t="n">
        <v>600</v>
      </c>
      <c r="M75" s="9" t="s">
        <v>86</v>
      </c>
      <c r="N75" s="9" t="s">
        <v>253</v>
      </c>
      <c r="O75" s="9" t="s">
        <v>220</v>
      </c>
      <c r="P75" s="9" t="s">
        <v>874</v>
      </c>
      <c r="Q75" s="9" t="s">
        <v>875</v>
      </c>
      <c r="R75" s="10" t="n">
        <v>600</v>
      </c>
      <c r="S75" s="9" t="s">
        <v>86</v>
      </c>
      <c r="T75" s="9" t="s">
        <v>253</v>
      </c>
      <c r="U75" s="9" t="s">
        <v>220</v>
      </c>
      <c r="V75" s="24" t="n">
        <v>0.97</v>
      </c>
      <c r="W75" s="9" t="s">
        <v>874</v>
      </c>
      <c r="X75" s="9" t="str">
        <f aca="false">IF(S75="New","Human approval (new SKU)",IF(OR(S75&lt;&gt;"Existing",W75&lt;&gt;"Valid",V75&lt;Decision_Rules!$C$6),"Human review","Auto-processed"))</f>
        <v>Auto-processed</v>
      </c>
      <c r="Y75" s="5" t="s">
        <v>876</v>
      </c>
      <c r="Z75" s="9" t="n">
        <f aca="false">IF(M75=S75,1,0)</f>
        <v>1</v>
      </c>
      <c r="AA75" s="9" t="n">
        <f aca="false">IF(P75=W75,1,0)</f>
        <v>1</v>
      </c>
      <c r="AB75" s="9" t="n">
        <f aca="false">IF(O75=U75,1,0)</f>
        <v>1</v>
      </c>
      <c r="AC75" s="27" t="n">
        <v>1</v>
      </c>
    </row>
    <row r="76" customFormat="false" ht="22.35" hidden="false" customHeight="false" outlineLevel="0" collapsed="false">
      <c r="A76" s="9" t="s">
        <v>1000</v>
      </c>
      <c r="B76" s="9" t="s">
        <v>614</v>
      </c>
      <c r="C76" s="9" t="s">
        <v>791</v>
      </c>
      <c r="D76" s="9" t="n">
        <v>2</v>
      </c>
      <c r="E76" s="9" t="s">
        <v>1001</v>
      </c>
      <c r="F76" s="9" t="s">
        <v>1002</v>
      </c>
      <c r="G76" s="10" t="n">
        <v>500</v>
      </c>
      <c r="H76" s="9" t="s">
        <v>220</v>
      </c>
      <c r="I76" s="9" t="s">
        <v>275</v>
      </c>
      <c r="J76" s="9" t="s">
        <v>251</v>
      </c>
      <c r="K76" s="23" t="n">
        <v>40</v>
      </c>
      <c r="L76" s="10" t="n">
        <v>500</v>
      </c>
      <c r="M76" s="9" t="s">
        <v>88</v>
      </c>
      <c r="N76" s="9" t="s">
        <v>1003</v>
      </c>
      <c r="O76" s="9" t="s">
        <v>220</v>
      </c>
      <c r="P76" s="9" t="s">
        <v>874</v>
      </c>
      <c r="Q76" s="9" t="s">
        <v>1004</v>
      </c>
      <c r="R76" s="10" t="n">
        <v>500</v>
      </c>
      <c r="S76" s="25" t="s">
        <v>86</v>
      </c>
      <c r="T76" s="9" t="s">
        <v>279</v>
      </c>
      <c r="U76" s="9" t="s">
        <v>220</v>
      </c>
      <c r="V76" s="24" t="n">
        <v>0.9</v>
      </c>
      <c r="W76" s="9" t="s">
        <v>874</v>
      </c>
      <c r="X76" s="9" t="str">
        <f aca="false">IF(S76="New","Human approval (new SKU)",IF(OR(S76&lt;&gt;"Existing",W76&lt;&gt;"Valid",V76&lt;Decision_Rules!$C$6),"Human review","Auto-processed"))</f>
        <v>Auto-processed</v>
      </c>
      <c r="Y76" s="5" t="s">
        <v>1005</v>
      </c>
      <c r="Z76" s="9" t="n">
        <f aca="false">IF(M76=S76,1,0)</f>
        <v>0</v>
      </c>
      <c r="AA76" s="9" t="n">
        <f aca="false">IF(P76=W76,1,0)</f>
        <v>1</v>
      </c>
      <c r="AB76" s="9" t="n">
        <f aca="false">IF(O76=U76,1,0)</f>
        <v>1</v>
      </c>
      <c r="AC76" s="27" t="n">
        <v>1</v>
      </c>
    </row>
    <row r="77" customFormat="false" ht="15" hidden="false" customHeight="false" outlineLevel="0" collapsed="false">
      <c r="A77" s="9" t="s">
        <v>1006</v>
      </c>
      <c r="B77" s="9" t="s">
        <v>614</v>
      </c>
      <c r="C77" s="9" t="s">
        <v>791</v>
      </c>
      <c r="D77" s="9" t="n">
        <v>3</v>
      </c>
      <c r="E77" s="9" t="s">
        <v>255</v>
      </c>
      <c r="F77" s="9" t="s">
        <v>256</v>
      </c>
      <c r="G77" s="10" t="n">
        <v>1000</v>
      </c>
      <c r="H77" s="9" t="s">
        <v>220</v>
      </c>
      <c r="I77" s="9" t="s">
        <v>257</v>
      </c>
      <c r="J77" s="9" t="s">
        <v>251</v>
      </c>
      <c r="K77" s="23" t="n">
        <v>70</v>
      </c>
      <c r="L77" s="10" t="n">
        <v>1000</v>
      </c>
      <c r="M77" s="9" t="s">
        <v>86</v>
      </c>
      <c r="N77" s="9" t="s">
        <v>255</v>
      </c>
      <c r="O77" s="9" t="s">
        <v>220</v>
      </c>
      <c r="P77" s="9" t="s">
        <v>874</v>
      </c>
      <c r="Q77" s="9" t="s">
        <v>875</v>
      </c>
      <c r="R77" s="10" t="n">
        <v>1000</v>
      </c>
      <c r="S77" s="9" t="s">
        <v>86</v>
      </c>
      <c r="T77" s="9" t="s">
        <v>255</v>
      </c>
      <c r="U77" s="9" t="s">
        <v>220</v>
      </c>
      <c r="V77" s="24" t="n">
        <v>0.98</v>
      </c>
      <c r="W77" s="9" t="s">
        <v>874</v>
      </c>
      <c r="X77" s="9" t="str">
        <f aca="false">IF(S77="New","Human approval (new SKU)",IF(OR(S77&lt;&gt;"Existing",W77&lt;&gt;"Valid",V77&lt;Decision_Rules!$C$6),"Human review","Auto-processed"))</f>
        <v>Auto-processed</v>
      </c>
      <c r="Y77" s="5" t="s">
        <v>876</v>
      </c>
      <c r="Z77" s="9" t="n">
        <f aca="false">IF(M77=S77,1,0)</f>
        <v>1</v>
      </c>
      <c r="AA77" s="9" t="n">
        <f aca="false">IF(P77=W77,1,0)</f>
        <v>1</v>
      </c>
      <c r="AB77" s="9" t="n">
        <f aca="false">IF(O77=U77,1,0)</f>
        <v>1</v>
      </c>
      <c r="AC77" s="27" t="n">
        <v>1</v>
      </c>
    </row>
    <row r="78" customFormat="false" ht="15" hidden="false" customHeight="false" outlineLevel="0" collapsed="false">
      <c r="A78" s="9" t="s">
        <v>1007</v>
      </c>
      <c r="B78" s="9" t="s">
        <v>614</v>
      </c>
      <c r="C78" s="9" t="s">
        <v>791</v>
      </c>
      <c r="D78" s="9" t="n">
        <v>4</v>
      </c>
      <c r="E78" s="9" t="s">
        <v>282</v>
      </c>
      <c r="F78" s="9" t="s">
        <v>283</v>
      </c>
      <c r="G78" s="10" t="n">
        <v>500</v>
      </c>
      <c r="H78" s="9" t="s">
        <v>220</v>
      </c>
      <c r="I78" s="9" t="s">
        <v>275</v>
      </c>
      <c r="J78" s="9" t="s">
        <v>251</v>
      </c>
      <c r="K78" s="23" t="n">
        <v>60</v>
      </c>
      <c r="L78" s="10" t="n">
        <v>500</v>
      </c>
      <c r="M78" s="9" t="s">
        <v>86</v>
      </c>
      <c r="N78" s="9" t="s">
        <v>282</v>
      </c>
      <c r="O78" s="9" t="s">
        <v>220</v>
      </c>
      <c r="P78" s="9" t="s">
        <v>874</v>
      </c>
      <c r="Q78" s="9" t="s">
        <v>875</v>
      </c>
      <c r="R78" s="10" t="n">
        <v>500</v>
      </c>
      <c r="S78" s="9" t="s">
        <v>86</v>
      </c>
      <c r="T78" s="9" t="s">
        <v>282</v>
      </c>
      <c r="U78" s="9" t="s">
        <v>220</v>
      </c>
      <c r="V78" s="24" t="n">
        <v>0.97</v>
      </c>
      <c r="W78" s="9" t="s">
        <v>874</v>
      </c>
      <c r="X78" s="9" t="str">
        <f aca="false">IF(S78="New","Human approval (new SKU)",IF(OR(S78&lt;&gt;"Existing",W78&lt;&gt;"Valid",V78&lt;Decision_Rules!$C$6),"Human review","Auto-processed"))</f>
        <v>Auto-processed</v>
      </c>
      <c r="Y78" s="5" t="s">
        <v>876</v>
      </c>
      <c r="Z78" s="9" t="n">
        <f aca="false">IF(M78=S78,1,0)</f>
        <v>1</v>
      </c>
      <c r="AA78" s="9" t="n">
        <f aca="false">IF(P78=W78,1,0)</f>
        <v>1</v>
      </c>
      <c r="AB78" s="9" t="n">
        <f aca="false">IF(O78=U78,1,0)</f>
        <v>1</v>
      </c>
      <c r="AC78" s="27" t="n">
        <v>1</v>
      </c>
    </row>
    <row r="79" customFormat="false" ht="15" hidden="false" customHeight="false" outlineLevel="0" collapsed="false">
      <c r="A79" s="9" t="s">
        <v>1008</v>
      </c>
      <c r="B79" s="9" t="s">
        <v>619</v>
      </c>
      <c r="C79" s="9" t="s">
        <v>797</v>
      </c>
      <c r="D79" s="9" t="n">
        <v>1</v>
      </c>
      <c r="E79" s="9" t="s">
        <v>229</v>
      </c>
      <c r="F79" s="9" t="s">
        <v>230</v>
      </c>
      <c r="G79" s="10" t="n">
        <v>240</v>
      </c>
      <c r="H79" s="9" t="s">
        <v>220</v>
      </c>
      <c r="I79" s="9" t="s">
        <v>221</v>
      </c>
      <c r="J79" s="9" t="s">
        <v>222</v>
      </c>
      <c r="K79" s="23" t="n">
        <v>144</v>
      </c>
      <c r="L79" s="10" t="n">
        <v>240</v>
      </c>
      <c r="M79" s="9" t="s">
        <v>86</v>
      </c>
      <c r="N79" s="9" t="s">
        <v>229</v>
      </c>
      <c r="O79" s="9" t="s">
        <v>220</v>
      </c>
      <c r="P79" s="9" t="s">
        <v>874</v>
      </c>
      <c r="Q79" s="9" t="s">
        <v>875</v>
      </c>
      <c r="R79" s="10" t="n">
        <v>240</v>
      </c>
      <c r="S79" s="9" t="s">
        <v>86</v>
      </c>
      <c r="T79" s="9" t="s">
        <v>229</v>
      </c>
      <c r="U79" s="9" t="s">
        <v>220</v>
      </c>
      <c r="V79" s="24" t="n">
        <v>0.99</v>
      </c>
      <c r="W79" s="9" t="s">
        <v>874</v>
      </c>
      <c r="X79" s="9" t="str">
        <f aca="false">IF(S79="New","Human approval (new SKU)",IF(OR(S79&lt;&gt;"Existing",W79&lt;&gt;"Valid",V79&lt;Decision_Rules!$C$6),"Human review","Auto-processed"))</f>
        <v>Auto-processed</v>
      </c>
      <c r="Y79" s="5" t="s">
        <v>876</v>
      </c>
      <c r="Z79" s="9" t="n">
        <f aca="false">IF(M79=S79,1,0)</f>
        <v>1</v>
      </c>
      <c r="AA79" s="9" t="n">
        <f aca="false">IF(P79=W79,1,0)</f>
        <v>1</v>
      </c>
      <c r="AB79" s="9" t="n">
        <f aca="false">IF(O79=U79,1,0)</f>
        <v>1</v>
      </c>
      <c r="AC79" s="27" t="n">
        <v>1</v>
      </c>
    </row>
    <row r="80" customFormat="false" ht="15" hidden="false" customHeight="false" outlineLevel="0" collapsed="false">
      <c r="A80" s="9" t="s">
        <v>1009</v>
      </c>
      <c r="B80" s="9" t="s">
        <v>619</v>
      </c>
      <c r="C80" s="9" t="s">
        <v>797</v>
      </c>
      <c r="D80" s="9" t="n">
        <v>2</v>
      </c>
      <c r="E80" s="9" t="s">
        <v>232</v>
      </c>
      <c r="F80" s="9" t="s">
        <v>233</v>
      </c>
      <c r="G80" s="10" t="n">
        <v>1000</v>
      </c>
      <c r="H80" s="9" t="s">
        <v>220</v>
      </c>
      <c r="I80" s="9" t="s">
        <v>234</v>
      </c>
      <c r="J80" s="9" t="s">
        <v>222</v>
      </c>
      <c r="K80" s="23" t="n">
        <v>550</v>
      </c>
      <c r="L80" s="10" t="n">
        <v>1000</v>
      </c>
      <c r="M80" s="9" t="s">
        <v>86</v>
      </c>
      <c r="N80" s="9" t="s">
        <v>232</v>
      </c>
      <c r="O80" s="9" t="s">
        <v>220</v>
      </c>
      <c r="P80" s="9" t="s">
        <v>874</v>
      </c>
      <c r="Q80" s="9" t="s">
        <v>875</v>
      </c>
      <c r="R80" s="10" t="n">
        <v>1000</v>
      </c>
      <c r="S80" s="9" t="s">
        <v>86</v>
      </c>
      <c r="T80" s="9" t="s">
        <v>232</v>
      </c>
      <c r="U80" s="9" t="s">
        <v>220</v>
      </c>
      <c r="V80" s="24" t="n">
        <v>0.99</v>
      </c>
      <c r="W80" s="9" t="s">
        <v>874</v>
      </c>
      <c r="X80" s="9" t="str">
        <f aca="false">IF(S80="New","Human approval (new SKU)",IF(OR(S80&lt;&gt;"Existing",W80&lt;&gt;"Valid",V80&lt;Decision_Rules!$C$6),"Human review","Auto-processed"))</f>
        <v>Auto-processed</v>
      </c>
      <c r="Y80" s="5" t="s">
        <v>876</v>
      </c>
      <c r="Z80" s="9" t="n">
        <f aca="false">IF(M80=S80,1,0)</f>
        <v>1</v>
      </c>
      <c r="AA80" s="9" t="n">
        <f aca="false">IF(P80=W80,1,0)</f>
        <v>1</v>
      </c>
      <c r="AB80" s="9" t="n">
        <f aca="false">IF(O80=U80,1,0)</f>
        <v>1</v>
      </c>
      <c r="AC80" s="27" t="n">
        <v>1</v>
      </c>
    </row>
    <row r="81" customFormat="false" ht="22.35" hidden="false" customHeight="false" outlineLevel="0" collapsed="false">
      <c r="A81" s="9" t="s">
        <v>1010</v>
      </c>
      <c r="B81" s="9" t="s">
        <v>619</v>
      </c>
      <c r="C81" s="9" t="s">
        <v>797</v>
      </c>
      <c r="D81" s="9" t="n">
        <v>3</v>
      </c>
      <c r="E81" s="9" t="s">
        <v>1011</v>
      </c>
      <c r="F81" s="9" t="s">
        <v>1012</v>
      </c>
      <c r="G81" s="10" t="n">
        <v>150</v>
      </c>
      <c r="H81" s="9" t="s">
        <v>326</v>
      </c>
      <c r="I81" s="9" t="s">
        <v>221</v>
      </c>
      <c r="J81" s="9" t="s">
        <v>222</v>
      </c>
      <c r="K81" s="23" t="n">
        <v>285</v>
      </c>
      <c r="L81" s="10" t="n">
        <v>150</v>
      </c>
      <c r="M81" s="9" t="s">
        <v>87</v>
      </c>
      <c r="N81" s="9" t="s">
        <v>915</v>
      </c>
      <c r="O81" s="9" t="s">
        <v>326</v>
      </c>
      <c r="P81" s="9" t="s">
        <v>874</v>
      </c>
      <c r="Q81" s="9" t="s">
        <v>916</v>
      </c>
      <c r="R81" s="10" t="n">
        <v>150</v>
      </c>
      <c r="S81" s="25" t="s">
        <v>88</v>
      </c>
      <c r="T81" s="9" t="s">
        <v>1013</v>
      </c>
      <c r="U81" s="9" t="s">
        <v>326</v>
      </c>
      <c r="V81" s="24" t="n">
        <v>0.74</v>
      </c>
      <c r="W81" s="9" t="s">
        <v>874</v>
      </c>
      <c r="X81" s="9" t="str">
        <f aca="false">IF(S81="New","Human approval (new SKU)",IF(OR(S81&lt;&gt;"Existing",W81&lt;&gt;"Valid",V81&lt;Decision_Rules!$C$6),"Human review","Auto-processed"))</f>
        <v>Human review</v>
      </c>
      <c r="Y81" s="5" t="s">
        <v>1014</v>
      </c>
      <c r="Z81" s="9" t="n">
        <f aca="false">IF(M81=S81,1,0)</f>
        <v>0</v>
      </c>
      <c r="AA81" s="9" t="n">
        <f aca="false">IF(P81=W81,1,0)</f>
        <v>1</v>
      </c>
      <c r="AB81" s="9" t="n">
        <f aca="false">IF(O81=U81,1,0)</f>
        <v>1</v>
      </c>
      <c r="AC81" s="27" t="n">
        <v>1</v>
      </c>
    </row>
    <row r="82" customFormat="false" ht="15" hidden="false" customHeight="false" outlineLevel="0" collapsed="false">
      <c r="A82" s="9" t="s">
        <v>1015</v>
      </c>
      <c r="B82" s="9" t="s">
        <v>625</v>
      </c>
      <c r="C82" s="9" t="s">
        <v>803</v>
      </c>
      <c r="D82" s="9" t="n">
        <v>1</v>
      </c>
      <c r="E82" s="9" t="s">
        <v>457</v>
      </c>
      <c r="F82" s="9" t="s">
        <v>458</v>
      </c>
      <c r="G82" s="10" t="n">
        <v>500</v>
      </c>
      <c r="H82" s="9" t="s">
        <v>430</v>
      </c>
      <c r="I82" s="9" t="s">
        <v>459</v>
      </c>
      <c r="J82" s="9" t="s">
        <v>445</v>
      </c>
      <c r="K82" s="23" t="n">
        <v>6200</v>
      </c>
      <c r="L82" s="10" t="n">
        <v>550</v>
      </c>
      <c r="M82" s="9" t="s">
        <v>86</v>
      </c>
      <c r="N82" s="9" t="s">
        <v>457</v>
      </c>
      <c r="O82" s="9" t="s">
        <v>430</v>
      </c>
      <c r="P82" s="9" t="s">
        <v>904</v>
      </c>
      <c r="Q82" s="9" t="s">
        <v>1016</v>
      </c>
      <c r="R82" s="10" t="n">
        <v>500</v>
      </c>
      <c r="S82" s="9" t="s">
        <v>86</v>
      </c>
      <c r="T82" s="9" t="s">
        <v>457</v>
      </c>
      <c r="U82" s="9" t="s">
        <v>430</v>
      </c>
      <c r="V82" s="24" t="n">
        <v>0.95</v>
      </c>
      <c r="W82" s="9" t="s">
        <v>904</v>
      </c>
      <c r="X82" s="9" t="str">
        <f aca="false">IF(S82="New","Human approval (new SKU)",IF(OR(S82&lt;&gt;"Existing",W82&lt;&gt;"Valid",V82&lt;Decision_Rules!$C$6),"Human review","Auto-processed"))</f>
        <v>Human review</v>
      </c>
      <c r="Y82" s="5" t="s">
        <v>1017</v>
      </c>
      <c r="Z82" s="9" t="n">
        <f aca="false">IF(M82=S82,1,0)</f>
        <v>1</v>
      </c>
      <c r="AA82" s="9" t="n">
        <f aca="false">IF(P82=W82,1,0)</f>
        <v>1</v>
      </c>
      <c r="AB82" s="9" t="n">
        <f aca="false">IF(O82=U82,1,0)</f>
        <v>1</v>
      </c>
      <c r="AC82" s="27" t="n">
        <v>1</v>
      </c>
    </row>
    <row r="83" customFormat="false" ht="15" hidden="false" customHeight="false" outlineLevel="0" collapsed="false">
      <c r="A83" s="9" t="s">
        <v>1018</v>
      </c>
      <c r="B83" s="9" t="s">
        <v>625</v>
      </c>
      <c r="C83" s="9" t="s">
        <v>803</v>
      </c>
      <c r="D83" s="9" t="n">
        <v>2</v>
      </c>
      <c r="E83" s="9" t="s">
        <v>438</v>
      </c>
      <c r="F83" s="9" t="s">
        <v>439</v>
      </c>
      <c r="G83" s="10" t="n">
        <v>100</v>
      </c>
      <c r="H83" s="9" t="s">
        <v>220</v>
      </c>
      <c r="I83" s="9" t="s">
        <v>440</v>
      </c>
      <c r="J83" s="9" t="s">
        <v>374</v>
      </c>
      <c r="K83" s="23" t="n">
        <v>505</v>
      </c>
      <c r="L83" s="10" t="n">
        <v>100</v>
      </c>
      <c r="M83" s="9" t="s">
        <v>86</v>
      </c>
      <c r="N83" s="9" t="s">
        <v>438</v>
      </c>
      <c r="O83" s="9" t="s">
        <v>220</v>
      </c>
      <c r="P83" s="9" t="s">
        <v>874</v>
      </c>
      <c r="Q83" s="9" t="s">
        <v>875</v>
      </c>
      <c r="R83" s="10" t="n">
        <v>100</v>
      </c>
      <c r="S83" s="9" t="s">
        <v>86</v>
      </c>
      <c r="T83" s="9" t="s">
        <v>438</v>
      </c>
      <c r="U83" s="9" t="s">
        <v>220</v>
      </c>
      <c r="V83" s="24" t="n">
        <v>0.98</v>
      </c>
      <c r="W83" s="9" t="s">
        <v>874</v>
      </c>
      <c r="X83" s="9" t="str">
        <f aca="false">IF(S83="New","Human approval (new SKU)",IF(OR(S83&lt;&gt;"Existing",W83&lt;&gt;"Valid",V83&lt;Decision_Rules!$C$6),"Human review","Auto-processed"))</f>
        <v>Auto-processed</v>
      </c>
      <c r="Y83" s="5" t="s">
        <v>876</v>
      </c>
      <c r="Z83" s="9" t="n">
        <f aca="false">IF(M83=S83,1,0)</f>
        <v>1</v>
      </c>
      <c r="AA83" s="9" t="n">
        <f aca="false">IF(P83=W83,1,0)</f>
        <v>1</v>
      </c>
      <c r="AB83" s="9" t="n">
        <f aca="false">IF(O83=U83,1,0)</f>
        <v>1</v>
      </c>
      <c r="AC83" s="27" t="n">
        <v>1</v>
      </c>
    </row>
    <row r="84" customFormat="false" ht="15" hidden="false" customHeight="false" outlineLevel="0" collapsed="false">
      <c r="A84" s="9" t="s">
        <v>1019</v>
      </c>
      <c r="B84" s="9" t="s">
        <v>625</v>
      </c>
      <c r="C84" s="9" t="s">
        <v>803</v>
      </c>
      <c r="D84" s="9" t="n">
        <v>3</v>
      </c>
      <c r="E84" s="9" t="s">
        <v>442</v>
      </c>
      <c r="F84" s="9" t="s">
        <v>443</v>
      </c>
      <c r="G84" s="10" t="n">
        <v>240</v>
      </c>
      <c r="H84" s="9" t="s">
        <v>220</v>
      </c>
      <c r="I84" s="9" t="s">
        <v>444</v>
      </c>
      <c r="J84" s="9" t="s">
        <v>445</v>
      </c>
      <c r="K84" s="23" t="n">
        <v>252</v>
      </c>
      <c r="L84" s="10" t="n">
        <v>240</v>
      </c>
      <c r="M84" s="9" t="s">
        <v>86</v>
      </c>
      <c r="N84" s="9" t="s">
        <v>442</v>
      </c>
      <c r="O84" s="9" t="s">
        <v>220</v>
      </c>
      <c r="P84" s="9" t="s">
        <v>874</v>
      </c>
      <c r="Q84" s="9" t="s">
        <v>875</v>
      </c>
      <c r="R84" s="10" t="n">
        <v>240</v>
      </c>
      <c r="S84" s="9" t="s">
        <v>86</v>
      </c>
      <c r="T84" s="9" t="s">
        <v>442</v>
      </c>
      <c r="U84" s="9" t="s">
        <v>220</v>
      </c>
      <c r="V84" s="24" t="n">
        <v>0.96</v>
      </c>
      <c r="W84" s="9" t="s">
        <v>874</v>
      </c>
      <c r="X84" s="9" t="str">
        <f aca="false">IF(S84="New","Human approval (new SKU)",IF(OR(S84&lt;&gt;"Existing",W84&lt;&gt;"Valid",V84&lt;Decision_Rules!$C$6),"Human review","Auto-processed"))</f>
        <v>Auto-processed</v>
      </c>
      <c r="Y84" s="5" t="s">
        <v>876</v>
      </c>
      <c r="Z84" s="9" t="n">
        <f aca="false">IF(M84=S84,1,0)</f>
        <v>1</v>
      </c>
      <c r="AA84" s="9" t="n">
        <f aca="false">IF(P84=W84,1,0)</f>
        <v>1</v>
      </c>
      <c r="AB84" s="9" t="n">
        <f aca="false">IF(O84=U84,1,0)</f>
        <v>1</v>
      </c>
      <c r="AC84" s="27" t="n">
        <v>1</v>
      </c>
    </row>
    <row r="85" customFormat="false" ht="15" hidden="false" customHeight="false" outlineLevel="0" collapsed="false">
      <c r="A85" s="9" t="s">
        <v>1020</v>
      </c>
      <c r="B85" s="9" t="s">
        <v>631</v>
      </c>
      <c r="C85" s="9" t="s">
        <v>809</v>
      </c>
      <c r="D85" s="9" t="n">
        <v>1</v>
      </c>
      <c r="E85" s="9" t="s">
        <v>460</v>
      </c>
      <c r="F85" s="9" t="s">
        <v>461</v>
      </c>
      <c r="G85" s="10" t="n">
        <v>60</v>
      </c>
      <c r="H85" s="9" t="s">
        <v>1021</v>
      </c>
      <c r="I85" s="9" t="s">
        <v>462</v>
      </c>
      <c r="J85" s="9" t="s">
        <v>445</v>
      </c>
      <c r="K85" s="23" t="n">
        <v>390</v>
      </c>
      <c r="L85" s="10" t="n">
        <v>60</v>
      </c>
      <c r="M85" s="9" t="s">
        <v>86</v>
      </c>
      <c r="N85" s="9" t="s">
        <v>460</v>
      </c>
      <c r="O85" s="9" t="s">
        <v>430</v>
      </c>
      <c r="P85" s="9" t="s">
        <v>874</v>
      </c>
      <c r="Q85" s="9" t="s">
        <v>1022</v>
      </c>
      <c r="R85" s="10" t="n">
        <v>60</v>
      </c>
      <c r="S85" s="9" t="s">
        <v>86</v>
      </c>
      <c r="T85" s="9" t="s">
        <v>460</v>
      </c>
      <c r="U85" s="9" t="s">
        <v>430</v>
      </c>
      <c r="V85" s="24" t="n">
        <v>0.98</v>
      </c>
      <c r="W85" s="9" t="s">
        <v>874</v>
      </c>
      <c r="X85" s="9" t="str">
        <f aca="false">IF(S85="New","Human approval (new SKU)",IF(OR(S85&lt;&gt;"Existing",W85&lt;&gt;"Valid",V85&lt;Decision_Rules!$C$6),"Human review","Auto-processed"))</f>
        <v>Auto-processed</v>
      </c>
      <c r="Y85" s="5" t="s">
        <v>1022</v>
      </c>
      <c r="Z85" s="9" t="n">
        <f aca="false">IF(M85=S85,1,0)</f>
        <v>1</v>
      </c>
      <c r="AA85" s="9" t="n">
        <f aca="false">IF(P85=W85,1,0)</f>
        <v>1</v>
      </c>
      <c r="AB85" s="9" t="n">
        <f aca="false">IF(O85=U85,1,0)</f>
        <v>1</v>
      </c>
      <c r="AC85" s="27" t="n">
        <v>1</v>
      </c>
    </row>
    <row r="86" customFormat="false" ht="15" hidden="false" customHeight="false" outlineLevel="0" collapsed="false">
      <c r="A86" s="9" t="s">
        <v>1023</v>
      </c>
      <c r="B86" s="9" t="s">
        <v>631</v>
      </c>
      <c r="C86" s="9" t="s">
        <v>809</v>
      </c>
      <c r="D86" s="9" t="n">
        <v>2</v>
      </c>
      <c r="E86" s="9" t="s">
        <v>463</v>
      </c>
      <c r="F86" s="9" t="s">
        <v>464</v>
      </c>
      <c r="G86" s="10" t="n">
        <v>240</v>
      </c>
      <c r="H86" s="9" t="s">
        <v>1024</v>
      </c>
      <c r="I86" s="9" t="s">
        <v>465</v>
      </c>
      <c r="J86" s="9" t="s">
        <v>445</v>
      </c>
      <c r="K86" s="23" t="n">
        <v>156</v>
      </c>
      <c r="L86" s="10" t="n">
        <v>240</v>
      </c>
      <c r="M86" s="9" t="s">
        <v>86</v>
      </c>
      <c r="N86" s="9" t="s">
        <v>463</v>
      </c>
      <c r="O86" s="9" t="s">
        <v>220</v>
      </c>
      <c r="P86" s="9" t="s">
        <v>874</v>
      </c>
      <c r="Q86" s="9" t="s">
        <v>1025</v>
      </c>
      <c r="R86" s="10" t="n">
        <v>240</v>
      </c>
      <c r="S86" s="9" t="s">
        <v>86</v>
      </c>
      <c r="T86" s="9" t="s">
        <v>463</v>
      </c>
      <c r="U86" s="9" t="s">
        <v>220</v>
      </c>
      <c r="V86" s="24" t="n">
        <v>0.98</v>
      </c>
      <c r="W86" s="9" t="s">
        <v>874</v>
      </c>
      <c r="X86" s="9" t="str">
        <f aca="false">IF(S86="New","Human approval (new SKU)",IF(OR(S86&lt;&gt;"Existing",W86&lt;&gt;"Valid",V86&lt;Decision_Rules!$C$6),"Human review","Auto-processed"))</f>
        <v>Auto-processed</v>
      </c>
      <c r="Y86" s="5" t="s">
        <v>1025</v>
      </c>
      <c r="Z86" s="9" t="n">
        <f aca="false">IF(M86=S86,1,0)</f>
        <v>1</v>
      </c>
      <c r="AA86" s="9" t="n">
        <f aca="false">IF(P86=W86,1,0)</f>
        <v>1</v>
      </c>
      <c r="AB86" s="9" t="n">
        <f aca="false">IF(O86=U86,1,0)</f>
        <v>1</v>
      </c>
      <c r="AC86" s="27" t="n">
        <v>1</v>
      </c>
    </row>
    <row r="87" customFormat="false" ht="15" hidden="false" customHeight="false" outlineLevel="0" collapsed="false">
      <c r="A87" s="9" t="s">
        <v>1026</v>
      </c>
      <c r="B87" s="9" t="s">
        <v>631</v>
      </c>
      <c r="C87" s="9" t="s">
        <v>809</v>
      </c>
      <c r="D87" s="9" t="n">
        <v>3</v>
      </c>
      <c r="E87" s="9" t="s">
        <v>450</v>
      </c>
      <c r="F87" s="9" t="s">
        <v>451</v>
      </c>
      <c r="G87" s="10" t="n">
        <v>400</v>
      </c>
      <c r="H87" s="9" t="s">
        <v>1024</v>
      </c>
      <c r="I87" s="9" t="s">
        <v>452</v>
      </c>
      <c r="J87" s="9" t="s">
        <v>453</v>
      </c>
      <c r="K87" s="23" t="n">
        <v>208</v>
      </c>
      <c r="L87" s="10" t="n">
        <v>400</v>
      </c>
      <c r="M87" s="9" t="s">
        <v>86</v>
      </c>
      <c r="N87" s="9" t="s">
        <v>450</v>
      </c>
      <c r="O87" s="9" t="s">
        <v>220</v>
      </c>
      <c r="P87" s="9" t="s">
        <v>874</v>
      </c>
      <c r="Q87" s="9" t="s">
        <v>1025</v>
      </c>
      <c r="R87" s="10" t="n">
        <v>400</v>
      </c>
      <c r="S87" s="9" t="s">
        <v>86</v>
      </c>
      <c r="T87" s="9" t="s">
        <v>450</v>
      </c>
      <c r="U87" s="9" t="s">
        <v>220</v>
      </c>
      <c r="V87" s="24" t="n">
        <v>0.98</v>
      </c>
      <c r="W87" s="9" t="s">
        <v>874</v>
      </c>
      <c r="X87" s="9" t="str">
        <f aca="false">IF(S87="New","Human approval (new SKU)",IF(OR(S87&lt;&gt;"Existing",W87&lt;&gt;"Valid",V87&lt;Decision_Rules!$C$6),"Human review","Auto-processed"))</f>
        <v>Auto-processed</v>
      </c>
      <c r="Y87" s="5" t="s">
        <v>1025</v>
      </c>
      <c r="Z87" s="9" t="n">
        <f aca="false">IF(M87=S87,1,0)</f>
        <v>1</v>
      </c>
      <c r="AA87" s="9" t="n">
        <f aca="false">IF(P87=W87,1,0)</f>
        <v>1</v>
      </c>
      <c r="AB87" s="9" t="n">
        <f aca="false">IF(O87=U87,1,0)</f>
        <v>1</v>
      </c>
      <c r="AC87" s="27" t="n">
        <v>1</v>
      </c>
    </row>
    <row r="88" customFormat="false" ht="15" hidden="false" customHeight="false" outlineLevel="0" collapsed="false">
      <c r="A88" s="9" t="s">
        <v>1027</v>
      </c>
      <c r="B88" s="9" t="s">
        <v>631</v>
      </c>
      <c r="C88" s="9" t="s">
        <v>809</v>
      </c>
      <c r="D88" s="9" t="n">
        <v>4</v>
      </c>
      <c r="E88" s="9" t="s">
        <v>1028</v>
      </c>
      <c r="F88" s="9" t="s">
        <v>1029</v>
      </c>
      <c r="G88" s="10" t="n">
        <v>80</v>
      </c>
      <c r="H88" s="9" t="s">
        <v>1021</v>
      </c>
      <c r="I88" s="9" t="s">
        <v>459</v>
      </c>
      <c r="J88" s="9" t="s">
        <v>445</v>
      </c>
      <c r="K88" s="23" t="n">
        <v>688</v>
      </c>
      <c r="L88" s="10" t="n">
        <v>80</v>
      </c>
      <c r="M88" s="9" t="s">
        <v>87</v>
      </c>
      <c r="N88" s="9" t="s">
        <v>915</v>
      </c>
      <c r="O88" s="9" t="s">
        <v>430</v>
      </c>
      <c r="P88" s="9" t="s">
        <v>874</v>
      </c>
      <c r="Q88" s="9" t="s">
        <v>916</v>
      </c>
      <c r="R88" s="10" t="n">
        <v>80</v>
      </c>
      <c r="S88" s="9" t="s">
        <v>87</v>
      </c>
      <c r="T88" s="9" t="s">
        <v>917</v>
      </c>
      <c r="U88" s="9" t="s">
        <v>430</v>
      </c>
      <c r="V88" s="24" t="n">
        <v>0.89</v>
      </c>
      <c r="W88" s="9" t="s">
        <v>874</v>
      </c>
      <c r="X88" s="9" t="str">
        <f aca="false">IF(S88="New","Human approval (new SKU)",IF(OR(S88&lt;&gt;"Existing",W88&lt;&gt;"Valid",V88&lt;Decision_Rules!$C$6),"Human review","Auto-processed"))</f>
        <v>Human approval (new SKU)</v>
      </c>
      <c r="Y88" s="5" t="s">
        <v>975</v>
      </c>
      <c r="Z88" s="9" t="n">
        <f aca="false">IF(M88=S88,1,0)</f>
        <v>1</v>
      </c>
      <c r="AA88" s="9" t="n">
        <f aca="false">IF(P88=W88,1,0)</f>
        <v>1</v>
      </c>
      <c r="AB88" s="9" t="n">
        <f aca="false">IF(O88=U88,1,0)</f>
        <v>1</v>
      </c>
      <c r="AC88" s="27" t="n">
        <v>1</v>
      </c>
    </row>
    <row r="89" customFormat="false" ht="15" hidden="false" customHeight="false" outlineLevel="0" collapsed="false">
      <c r="A89" s="9" t="s">
        <v>1030</v>
      </c>
      <c r="B89" s="9" t="s">
        <v>637</v>
      </c>
      <c r="C89" s="9" t="s">
        <v>813</v>
      </c>
      <c r="D89" s="9" t="n">
        <v>1</v>
      </c>
      <c r="E89" s="9" t="s">
        <v>299</v>
      </c>
      <c r="F89" s="9" t="s">
        <v>300</v>
      </c>
      <c r="G89" s="10" t="n">
        <v>240</v>
      </c>
      <c r="H89" s="9" t="s">
        <v>220</v>
      </c>
      <c r="I89" s="9" t="s">
        <v>301</v>
      </c>
      <c r="J89" s="9" t="s">
        <v>287</v>
      </c>
      <c r="K89" s="23" t="n">
        <v>36</v>
      </c>
      <c r="L89" s="10" t="n">
        <v>240</v>
      </c>
      <c r="M89" s="9" t="s">
        <v>86</v>
      </c>
      <c r="N89" s="9" t="s">
        <v>299</v>
      </c>
      <c r="O89" s="9" t="s">
        <v>220</v>
      </c>
      <c r="P89" s="9" t="s">
        <v>874</v>
      </c>
      <c r="Q89" s="9" t="s">
        <v>875</v>
      </c>
      <c r="R89" s="10" t="n">
        <v>240</v>
      </c>
      <c r="S89" s="9" t="s">
        <v>86</v>
      </c>
      <c r="T89" s="9" t="s">
        <v>299</v>
      </c>
      <c r="U89" s="9" t="s">
        <v>220</v>
      </c>
      <c r="V89" s="24" t="n">
        <v>0.95</v>
      </c>
      <c r="W89" s="9" t="s">
        <v>874</v>
      </c>
      <c r="X89" s="9" t="str">
        <f aca="false">IF(S89="New","Human approval (new SKU)",IF(OR(S89&lt;&gt;"Existing",W89&lt;&gt;"Valid",V89&lt;Decision_Rules!$C$6),"Human review","Auto-processed"))</f>
        <v>Auto-processed</v>
      </c>
      <c r="Y89" s="5" t="s">
        <v>876</v>
      </c>
      <c r="Z89" s="9" t="n">
        <f aca="false">IF(M89=S89,1,0)</f>
        <v>1</v>
      </c>
      <c r="AA89" s="9" t="n">
        <f aca="false">IF(P89=W89,1,0)</f>
        <v>1</v>
      </c>
      <c r="AB89" s="9" t="n">
        <f aca="false">IF(O89=U89,1,0)</f>
        <v>1</v>
      </c>
      <c r="AC89" s="27" t="n">
        <v>1</v>
      </c>
    </row>
    <row r="90" customFormat="false" ht="15" hidden="false" customHeight="false" outlineLevel="0" collapsed="false">
      <c r="A90" s="9" t="s">
        <v>1031</v>
      </c>
      <c r="B90" s="9" t="s">
        <v>637</v>
      </c>
      <c r="C90" s="9" t="s">
        <v>813</v>
      </c>
      <c r="D90" s="9" t="n">
        <v>2</v>
      </c>
      <c r="E90" s="9" t="s">
        <v>295</v>
      </c>
      <c r="F90" s="9" t="s">
        <v>296</v>
      </c>
      <c r="G90" s="10" t="n">
        <v>100</v>
      </c>
      <c r="H90" s="9" t="s">
        <v>220</v>
      </c>
      <c r="I90" s="9" t="s">
        <v>294</v>
      </c>
      <c r="J90" s="9" t="s">
        <v>287</v>
      </c>
      <c r="K90" s="23" t="n">
        <v>85</v>
      </c>
      <c r="L90" s="10" t="n">
        <v>100</v>
      </c>
      <c r="M90" s="9" t="s">
        <v>86</v>
      </c>
      <c r="N90" s="9" t="s">
        <v>295</v>
      </c>
      <c r="O90" s="9" t="s">
        <v>220</v>
      </c>
      <c r="P90" s="9" t="s">
        <v>874</v>
      </c>
      <c r="Q90" s="9" t="s">
        <v>875</v>
      </c>
      <c r="R90" s="10" t="n">
        <v>100</v>
      </c>
      <c r="S90" s="9" t="s">
        <v>86</v>
      </c>
      <c r="T90" s="9" t="s">
        <v>295</v>
      </c>
      <c r="U90" s="9" t="s">
        <v>220</v>
      </c>
      <c r="V90" s="24" t="n">
        <v>0.99</v>
      </c>
      <c r="W90" s="9" t="s">
        <v>874</v>
      </c>
      <c r="X90" s="9" t="str">
        <f aca="false">IF(S90="New","Human approval (new SKU)",IF(OR(S90&lt;&gt;"Existing",W90&lt;&gt;"Valid",V90&lt;Decision_Rules!$C$6),"Human review","Auto-processed"))</f>
        <v>Auto-processed</v>
      </c>
      <c r="Y90" s="5" t="s">
        <v>876</v>
      </c>
      <c r="Z90" s="9" t="n">
        <f aca="false">IF(M90=S90,1,0)</f>
        <v>1</v>
      </c>
      <c r="AA90" s="9" t="n">
        <f aca="false">IF(P90=W90,1,0)</f>
        <v>1</v>
      </c>
      <c r="AB90" s="9" t="n">
        <f aca="false">IF(O90=U90,1,0)</f>
        <v>1</v>
      </c>
      <c r="AC90" s="27" t="n">
        <v>1</v>
      </c>
    </row>
    <row r="91" customFormat="false" ht="15" hidden="false" customHeight="false" outlineLevel="0" collapsed="false">
      <c r="A91" s="9" t="s">
        <v>1032</v>
      </c>
      <c r="B91" s="9" t="s">
        <v>637</v>
      </c>
      <c r="C91" s="9" t="s">
        <v>813</v>
      </c>
      <c r="D91" s="9" t="n">
        <v>3</v>
      </c>
      <c r="E91" s="9" t="s">
        <v>305</v>
      </c>
      <c r="F91" s="9" t="s">
        <v>306</v>
      </c>
      <c r="G91" s="10" t="n">
        <v>600</v>
      </c>
      <c r="H91" s="9" t="s">
        <v>220</v>
      </c>
      <c r="I91" s="9" t="s">
        <v>307</v>
      </c>
      <c r="J91" s="9" t="s">
        <v>287</v>
      </c>
      <c r="K91" s="23" t="n">
        <v>120</v>
      </c>
      <c r="L91" s="10" t="n">
        <v>600</v>
      </c>
      <c r="M91" s="9" t="s">
        <v>86</v>
      </c>
      <c r="N91" s="9" t="s">
        <v>305</v>
      </c>
      <c r="O91" s="9" t="s">
        <v>220</v>
      </c>
      <c r="P91" s="9" t="s">
        <v>874</v>
      </c>
      <c r="Q91" s="9" t="s">
        <v>875</v>
      </c>
      <c r="R91" s="10" t="n">
        <v>600</v>
      </c>
      <c r="S91" s="9" t="s">
        <v>86</v>
      </c>
      <c r="T91" s="9" t="s">
        <v>305</v>
      </c>
      <c r="U91" s="9" t="s">
        <v>220</v>
      </c>
      <c r="V91" s="24" t="n">
        <v>0.95</v>
      </c>
      <c r="W91" s="9" t="s">
        <v>874</v>
      </c>
      <c r="X91" s="9" t="str">
        <f aca="false">IF(S91="New","Human approval (new SKU)",IF(OR(S91&lt;&gt;"Existing",W91&lt;&gt;"Valid",V91&lt;Decision_Rules!$C$6),"Human review","Auto-processed"))</f>
        <v>Auto-processed</v>
      </c>
      <c r="Y91" s="5" t="s">
        <v>876</v>
      </c>
      <c r="Z91" s="9" t="n">
        <f aca="false">IF(M91=S91,1,0)</f>
        <v>1</v>
      </c>
      <c r="AA91" s="9" t="n">
        <f aca="false">IF(P91=W91,1,0)</f>
        <v>1</v>
      </c>
      <c r="AB91" s="9" t="n">
        <f aca="false">IF(O91=U91,1,0)</f>
        <v>1</v>
      </c>
      <c r="AC91" s="27" t="n">
        <v>1</v>
      </c>
    </row>
    <row r="92" customFormat="false" ht="15" hidden="false" customHeight="false" outlineLevel="0" collapsed="false">
      <c r="A92" s="9" t="s">
        <v>1033</v>
      </c>
      <c r="B92" s="9" t="s">
        <v>643</v>
      </c>
      <c r="C92" s="9" t="s">
        <v>819</v>
      </c>
      <c r="D92" s="9" t="n">
        <v>1</v>
      </c>
      <c r="E92" s="9" t="s">
        <v>328</v>
      </c>
      <c r="F92" s="9" t="s">
        <v>329</v>
      </c>
      <c r="G92" s="10" t="n">
        <v>150</v>
      </c>
      <c r="H92" s="9" t="s">
        <v>326</v>
      </c>
      <c r="I92" s="9" t="s">
        <v>330</v>
      </c>
      <c r="J92" s="9" t="s">
        <v>331</v>
      </c>
      <c r="K92" s="23" t="n">
        <v>315</v>
      </c>
      <c r="L92" s="10" t="n">
        <v>150</v>
      </c>
      <c r="M92" s="9" t="s">
        <v>86</v>
      </c>
      <c r="N92" s="9" t="s">
        <v>328</v>
      </c>
      <c r="O92" s="9" t="s">
        <v>326</v>
      </c>
      <c r="P92" s="9" t="s">
        <v>874</v>
      </c>
      <c r="Q92" s="9" t="s">
        <v>875</v>
      </c>
      <c r="R92" s="10" t="n">
        <v>150</v>
      </c>
      <c r="S92" s="9" t="s">
        <v>86</v>
      </c>
      <c r="T92" s="9" t="s">
        <v>328</v>
      </c>
      <c r="U92" s="9" t="s">
        <v>326</v>
      </c>
      <c r="V92" s="24" t="n">
        <v>0.98</v>
      </c>
      <c r="W92" s="9" t="s">
        <v>874</v>
      </c>
      <c r="X92" s="9" t="str">
        <f aca="false">IF(S92="New","Human approval (new SKU)",IF(OR(S92&lt;&gt;"Existing",W92&lt;&gt;"Valid",V92&lt;Decision_Rules!$C$6),"Human review","Auto-processed"))</f>
        <v>Auto-processed</v>
      </c>
      <c r="Y92" s="5" t="s">
        <v>876</v>
      </c>
      <c r="Z92" s="9" t="n">
        <f aca="false">IF(M92=S92,1,0)</f>
        <v>1</v>
      </c>
      <c r="AA92" s="9" t="n">
        <f aca="false">IF(P92=W92,1,0)</f>
        <v>1</v>
      </c>
      <c r="AB92" s="9" t="n">
        <f aca="false">IF(O92=U92,1,0)</f>
        <v>1</v>
      </c>
      <c r="AC92" s="27" t="n">
        <v>1</v>
      </c>
    </row>
    <row r="93" customFormat="false" ht="15" hidden="false" customHeight="false" outlineLevel="0" collapsed="false">
      <c r="A93" s="9" t="s">
        <v>1034</v>
      </c>
      <c r="B93" s="9" t="s">
        <v>643</v>
      </c>
      <c r="C93" s="9" t="s">
        <v>819</v>
      </c>
      <c r="D93" s="9" t="n">
        <v>2</v>
      </c>
      <c r="E93" s="9" t="s">
        <v>368</v>
      </c>
      <c r="F93" s="9" t="s">
        <v>369</v>
      </c>
      <c r="G93" s="10" t="n">
        <v>120</v>
      </c>
      <c r="H93" s="9" t="s">
        <v>220</v>
      </c>
      <c r="I93" s="9" t="s">
        <v>370</v>
      </c>
      <c r="J93" s="9" t="s">
        <v>331</v>
      </c>
      <c r="K93" s="23" t="n">
        <v>132</v>
      </c>
      <c r="L93" s="10" t="n">
        <v>120</v>
      </c>
      <c r="M93" s="9" t="s">
        <v>86</v>
      </c>
      <c r="N93" s="9" t="s">
        <v>368</v>
      </c>
      <c r="O93" s="9" t="s">
        <v>220</v>
      </c>
      <c r="P93" s="9" t="s">
        <v>874</v>
      </c>
      <c r="Q93" s="9" t="s">
        <v>875</v>
      </c>
      <c r="R93" s="10" t="n">
        <v>120</v>
      </c>
      <c r="S93" s="9" t="s">
        <v>86</v>
      </c>
      <c r="T93" s="9" t="s">
        <v>368</v>
      </c>
      <c r="U93" s="9" t="s">
        <v>220</v>
      </c>
      <c r="V93" s="24" t="n">
        <v>0.99</v>
      </c>
      <c r="W93" s="9" t="s">
        <v>874</v>
      </c>
      <c r="X93" s="9" t="str">
        <f aca="false">IF(S93="New","Human approval (new SKU)",IF(OR(S93&lt;&gt;"Existing",W93&lt;&gt;"Valid",V93&lt;Decision_Rules!$C$6),"Human review","Auto-processed"))</f>
        <v>Auto-processed</v>
      </c>
      <c r="Y93" s="5" t="s">
        <v>876</v>
      </c>
      <c r="Z93" s="9" t="n">
        <f aca="false">IF(M93=S93,1,0)</f>
        <v>1</v>
      </c>
      <c r="AA93" s="9" t="n">
        <f aca="false">IF(P93=W93,1,0)</f>
        <v>1</v>
      </c>
      <c r="AB93" s="9" t="n">
        <f aca="false">IF(O93=U93,1,0)</f>
        <v>1</v>
      </c>
      <c r="AC93" s="27" t="n">
        <v>1</v>
      </c>
    </row>
    <row r="94" customFormat="false" ht="15" hidden="false" customHeight="false" outlineLevel="0" collapsed="false">
      <c r="A94" s="9" t="s">
        <v>1035</v>
      </c>
      <c r="B94" s="9" t="s">
        <v>648</v>
      </c>
      <c r="C94" s="9" t="s">
        <v>825</v>
      </c>
      <c r="D94" s="9" t="n">
        <v>1</v>
      </c>
      <c r="E94" s="9" t="s">
        <v>377</v>
      </c>
      <c r="F94" s="9" t="s">
        <v>378</v>
      </c>
      <c r="G94" s="10" t="n">
        <v>200</v>
      </c>
      <c r="H94" s="9" t="s">
        <v>220</v>
      </c>
      <c r="I94" s="9" t="s">
        <v>327</v>
      </c>
      <c r="J94" s="9" t="s">
        <v>374</v>
      </c>
      <c r="K94" s="23" t="n">
        <v>56</v>
      </c>
      <c r="L94" s="10" t="n">
        <v>200</v>
      </c>
      <c r="M94" s="9" t="s">
        <v>86</v>
      </c>
      <c r="N94" s="9" t="s">
        <v>377</v>
      </c>
      <c r="O94" s="9" t="s">
        <v>220</v>
      </c>
      <c r="P94" s="9" t="s">
        <v>874</v>
      </c>
      <c r="Q94" s="9" t="s">
        <v>875</v>
      </c>
      <c r="R94" s="10" t="n">
        <v>200</v>
      </c>
      <c r="S94" s="9" t="s">
        <v>86</v>
      </c>
      <c r="T94" s="9" t="s">
        <v>377</v>
      </c>
      <c r="U94" s="9" t="s">
        <v>220</v>
      </c>
      <c r="V94" s="24" t="n">
        <v>0.99</v>
      </c>
      <c r="W94" s="9" t="s">
        <v>874</v>
      </c>
      <c r="X94" s="9" t="str">
        <f aca="false">IF(S94="New","Human approval (new SKU)",IF(OR(S94&lt;&gt;"Existing",W94&lt;&gt;"Valid",V94&lt;Decision_Rules!$C$6),"Human review","Auto-processed"))</f>
        <v>Auto-processed</v>
      </c>
      <c r="Y94" s="5" t="s">
        <v>876</v>
      </c>
      <c r="Z94" s="9" t="n">
        <f aca="false">IF(M94=S94,1,0)</f>
        <v>1</v>
      </c>
      <c r="AA94" s="9" t="n">
        <f aca="false">IF(P94=W94,1,0)</f>
        <v>1</v>
      </c>
      <c r="AB94" s="9" t="n">
        <f aca="false">IF(O94=U94,1,0)</f>
        <v>1</v>
      </c>
      <c r="AC94" s="27" t="n">
        <v>1</v>
      </c>
    </row>
    <row r="95" customFormat="false" ht="15" hidden="false" customHeight="false" outlineLevel="0" collapsed="false">
      <c r="A95" s="9" t="s">
        <v>1036</v>
      </c>
      <c r="B95" s="9" t="s">
        <v>648</v>
      </c>
      <c r="C95" s="9" t="s">
        <v>825</v>
      </c>
      <c r="D95" s="9" t="n">
        <v>2</v>
      </c>
      <c r="E95" s="9" t="s">
        <v>394</v>
      </c>
      <c r="F95" s="9" t="s">
        <v>395</v>
      </c>
      <c r="G95" s="10" t="n">
        <v>400</v>
      </c>
      <c r="H95" s="9" t="s">
        <v>220</v>
      </c>
      <c r="I95" s="9" t="s">
        <v>396</v>
      </c>
      <c r="J95" s="9" t="s">
        <v>374</v>
      </c>
      <c r="K95" s="23" t="n">
        <v>36</v>
      </c>
      <c r="L95" s="10" t="n">
        <v>400</v>
      </c>
      <c r="M95" s="9" t="s">
        <v>86</v>
      </c>
      <c r="N95" s="9" t="s">
        <v>394</v>
      </c>
      <c r="O95" s="9" t="s">
        <v>220</v>
      </c>
      <c r="P95" s="9" t="s">
        <v>874</v>
      </c>
      <c r="Q95" s="9" t="s">
        <v>875</v>
      </c>
      <c r="R95" s="10" t="n">
        <v>400</v>
      </c>
      <c r="S95" s="9" t="s">
        <v>86</v>
      </c>
      <c r="T95" s="9" t="s">
        <v>394</v>
      </c>
      <c r="U95" s="9" t="s">
        <v>220</v>
      </c>
      <c r="V95" s="24" t="n">
        <v>0.97</v>
      </c>
      <c r="W95" s="9" t="s">
        <v>874</v>
      </c>
      <c r="X95" s="9" t="str">
        <f aca="false">IF(S95="New","Human approval (new SKU)",IF(OR(S95&lt;&gt;"Existing",W95&lt;&gt;"Valid",V95&lt;Decision_Rules!$C$6),"Human review","Auto-processed"))</f>
        <v>Auto-processed</v>
      </c>
      <c r="Y95" s="5" t="s">
        <v>876</v>
      </c>
      <c r="Z95" s="9" t="n">
        <f aca="false">IF(M95=S95,1,0)</f>
        <v>1</v>
      </c>
      <c r="AA95" s="9" t="n">
        <f aca="false">IF(P95=W95,1,0)</f>
        <v>1</v>
      </c>
      <c r="AB95" s="9" t="n">
        <f aca="false">IF(O95=U95,1,0)</f>
        <v>1</v>
      </c>
      <c r="AC95" s="27" t="n">
        <v>1</v>
      </c>
    </row>
    <row r="96" customFormat="false" ht="15" hidden="false" customHeight="false" outlineLevel="0" collapsed="false">
      <c r="A96" s="9" t="s">
        <v>1037</v>
      </c>
      <c r="B96" s="9" t="s">
        <v>648</v>
      </c>
      <c r="C96" s="9" t="s">
        <v>825</v>
      </c>
      <c r="D96" s="9" t="n">
        <v>3</v>
      </c>
      <c r="E96" s="9" t="s">
        <v>391</v>
      </c>
      <c r="F96" s="9" t="s">
        <v>392</v>
      </c>
      <c r="G96" s="10" t="n">
        <v>1000</v>
      </c>
      <c r="H96" s="9" t="s">
        <v>220</v>
      </c>
      <c r="I96" s="9" t="s">
        <v>393</v>
      </c>
      <c r="J96" s="9" t="s">
        <v>374</v>
      </c>
      <c r="K96" s="23" t="n">
        <v>400</v>
      </c>
      <c r="L96" s="10" t="n">
        <v>1000</v>
      </c>
      <c r="M96" s="9" t="s">
        <v>86</v>
      </c>
      <c r="N96" s="9" t="s">
        <v>391</v>
      </c>
      <c r="O96" s="9" t="s">
        <v>220</v>
      </c>
      <c r="P96" s="9" t="s">
        <v>874</v>
      </c>
      <c r="Q96" s="9" t="s">
        <v>875</v>
      </c>
      <c r="R96" s="10" t="n">
        <v>1000</v>
      </c>
      <c r="S96" s="9" t="s">
        <v>86</v>
      </c>
      <c r="T96" s="9" t="s">
        <v>391</v>
      </c>
      <c r="U96" s="9" t="s">
        <v>220</v>
      </c>
      <c r="V96" s="24" t="n">
        <v>0.97</v>
      </c>
      <c r="W96" s="9" t="s">
        <v>874</v>
      </c>
      <c r="X96" s="9" t="str">
        <f aca="false">IF(S96="New","Human approval (new SKU)",IF(OR(S96&lt;&gt;"Existing",W96&lt;&gt;"Valid",V96&lt;Decision_Rules!$C$6),"Human review","Auto-processed"))</f>
        <v>Auto-processed</v>
      </c>
      <c r="Y96" s="5" t="s">
        <v>876</v>
      </c>
      <c r="Z96" s="9" t="n">
        <f aca="false">IF(M96=S96,1,0)</f>
        <v>1</v>
      </c>
      <c r="AA96" s="9" t="n">
        <f aca="false">IF(P96=W96,1,0)</f>
        <v>1</v>
      </c>
      <c r="AB96" s="9" t="n">
        <f aca="false">IF(O96=U96,1,0)</f>
        <v>1</v>
      </c>
      <c r="AC96" s="27" t="n">
        <v>1</v>
      </c>
    </row>
    <row r="97" customFormat="false" ht="15" hidden="false" customHeight="false" outlineLevel="0" collapsed="false">
      <c r="A97" s="9" t="s">
        <v>1038</v>
      </c>
      <c r="B97" s="9" t="s">
        <v>648</v>
      </c>
      <c r="C97" s="9" t="s">
        <v>825</v>
      </c>
      <c r="D97" s="9" t="n">
        <v>4</v>
      </c>
      <c r="E97" s="9" t="s">
        <v>411</v>
      </c>
      <c r="F97" s="9" t="s">
        <v>412</v>
      </c>
      <c r="G97" s="10" t="n">
        <v>120</v>
      </c>
      <c r="H97" s="9" t="s">
        <v>220</v>
      </c>
      <c r="I97" s="9" t="s">
        <v>413</v>
      </c>
      <c r="J97" s="9" t="s">
        <v>374</v>
      </c>
      <c r="K97" s="23" t="n">
        <v>108</v>
      </c>
      <c r="L97" s="10" t="n">
        <v>120</v>
      </c>
      <c r="M97" s="9" t="s">
        <v>86</v>
      </c>
      <c r="N97" s="9" t="s">
        <v>411</v>
      </c>
      <c r="O97" s="9" t="s">
        <v>220</v>
      </c>
      <c r="P97" s="9" t="s">
        <v>874</v>
      </c>
      <c r="Q97" s="9" t="s">
        <v>875</v>
      </c>
      <c r="R97" s="10" t="n">
        <v>120</v>
      </c>
      <c r="S97" s="9" t="s">
        <v>86</v>
      </c>
      <c r="T97" s="9" t="s">
        <v>411</v>
      </c>
      <c r="U97" s="9" t="s">
        <v>220</v>
      </c>
      <c r="V97" s="24" t="n">
        <v>0.98</v>
      </c>
      <c r="W97" s="9" t="s">
        <v>874</v>
      </c>
      <c r="X97" s="9" t="str">
        <f aca="false">IF(S97="New","Human approval (new SKU)",IF(OR(S97&lt;&gt;"Existing",W97&lt;&gt;"Valid",V97&lt;Decision_Rules!$C$6),"Human review","Auto-processed"))</f>
        <v>Auto-processed</v>
      </c>
      <c r="Y97" s="5" t="s">
        <v>876</v>
      </c>
      <c r="Z97" s="9" t="n">
        <f aca="false">IF(M97=S97,1,0)</f>
        <v>1</v>
      </c>
      <c r="AA97" s="9" t="n">
        <f aca="false">IF(P97=W97,1,0)</f>
        <v>1</v>
      </c>
      <c r="AB97" s="9" t="n">
        <f aca="false">IF(O97=U97,1,0)</f>
        <v>1</v>
      </c>
      <c r="AC97" s="27" t="n">
        <v>1</v>
      </c>
    </row>
    <row r="98" customFormat="false" ht="15" hidden="false" customHeight="false" outlineLevel="0" collapsed="false">
      <c r="A98" s="9" t="s">
        <v>1039</v>
      </c>
      <c r="B98" s="9" t="s">
        <v>652</v>
      </c>
      <c r="C98" s="9" t="s">
        <v>829</v>
      </c>
      <c r="D98" s="9" t="n">
        <v>1</v>
      </c>
      <c r="E98" s="9" t="s">
        <v>428</v>
      </c>
      <c r="F98" s="9" t="s">
        <v>429</v>
      </c>
      <c r="G98" s="10" t="n">
        <v>80</v>
      </c>
      <c r="H98" s="9" t="s">
        <v>430</v>
      </c>
      <c r="I98" s="9" t="s">
        <v>431</v>
      </c>
      <c r="J98" s="9" t="s">
        <v>423</v>
      </c>
      <c r="K98" s="23" t="n">
        <v>224</v>
      </c>
      <c r="L98" s="10" t="n">
        <v>80</v>
      </c>
      <c r="M98" s="9" t="s">
        <v>86</v>
      </c>
      <c r="N98" s="9" t="s">
        <v>428</v>
      </c>
      <c r="O98" s="9" t="s">
        <v>430</v>
      </c>
      <c r="P98" s="9" t="s">
        <v>874</v>
      </c>
      <c r="Q98" s="9" t="s">
        <v>875</v>
      </c>
      <c r="R98" s="10" t="n">
        <v>80</v>
      </c>
      <c r="S98" s="9" t="s">
        <v>86</v>
      </c>
      <c r="T98" s="9" t="s">
        <v>428</v>
      </c>
      <c r="U98" s="9" t="s">
        <v>430</v>
      </c>
      <c r="V98" s="24" t="n">
        <v>0.96</v>
      </c>
      <c r="W98" s="9" t="s">
        <v>874</v>
      </c>
      <c r="X98" s="9" t="str">
        <f aca="false">IF(S98="New","Human approval (new SKU)",IF(OR(S98&lt;&gt;"Existing",W98&lt;&gt;"Valid",V98&lt;Decision_Rules!$C$6),"Human review","Auto-processed"))</f>
        <v>Auto-processed</v>
      </c>
      <c r="Y98" s="5" t="s">
        <v>876</v>
      </c>
      <c r="Z98" s="9" t="n">
        <f aca="false">IF(M98=S98,1,0)</f>
        <v>1</v>
      </c>
      <c r="AA98" s="9" t="n">
        <f aca="false">IF(P98=W98,1,0)</f>
        <v>1</v>
      </c>
      <c r="AB98" s="9" t="n">
        <f aca="false">IF(O98=U98,1,0)</f>
        <v>1</v>
      </c>
      <c r="AC98" s="27" t="n">
        <v>1</v>
      </c>
    </row>
    <row r="99" customFormat="false" ht="15" hidden="false" customHeight="false" outlineLevel="0" collapsed="false">
      <c r="A99" s="9" t="s">
        <v>1040</v>
      </c>
      <c r="B99" s="9" t="s">
        <v>652</v>
      </c>
      <c r="C99" s="9" t="s">
        <v>829</v>
      </c>
      <c r="D99" s="9" t="n">
        <v>2</v>
      </c>
      <c r="E99" s="9" t="s">
        <v>432</v>
      </c>
      <c r="F99" s="9" t="s">
        <v>433</v>
      </c>
      <c r="G99" s="10" t="n">
        <v>120</v>
      </c>
      <c r="H99" s="9" t="s">
        <v>220</v>
      </c>
      <c r="I99" s="9" t="s">
        <v>434</v>
      </c>
      <c r="J99" s="9" t="s">
        <v>423</v>
      </c>
      <c r="K99" s="23" t="n">
        <v>63.6</v>
      </c>
      <c r="L99" s="10" t="n">
        <v>120</v>
      </c>
      <c r="M99" s="9" t="s">
        <v>86</v>
      </c>
      <c r="N99" s="9" t="s">
        <v>432</v>
      </c>
      <c r="O99" s="9" t="s">
        <v>220</v>
      </c>
      <c r="P99" s="9" t="s">
        <v>874</v>
      </c>
      <c r="Q99" s="9" t="s">
        <v>875</v>
      </c>
      <c r="R99" s="10" t="n">
        <v>120</v>
      </c>
      <c r="S99" s="9" t="s">
        <v>86</v>
      </c>
      <c r="T99" s="9" t="s">
        <v>432</v>
      </c>
      <c r="U99" s="9" t="s">
        <v>220</v>
      </c>
      <c r="V99" s="24" t="n">
        <v>0.97</v>
      </c>
      <c r="W99" s="9" t="s">
        <v>874</v>
      </c>
      <c r="X99" s="9" t="str">
        <f aca="false">IF(S99="New","Human approval (new SKU)",IF(OR(S99&lt;&gt;"Existing",W99&lt;&gt;"Valid",V99&lt;Decision_Rules!$C$6),"Human review","Auto-processed"))</f>
        <v>Auto-processed</v>
      </c>
      <c r="Y99" s="5" t="s">
        <v>876</v>
      </c>
      <c r="Z99" s="9" t="n">
        <f aca="false">IF(M99=S99,1,0)</f>
        <v>1</v>
      </c>
      <c r="AA99" s="9" t="n">
        <f aca="false">IF(P99=W99,1,0)</f>
        <v>1</v>
      </c>
      <c r="AB99" s="9" t="n">
        <f aca="false">IF(O99=U99,1,0)</f>
        <v>1</v>
      </c>
      <c r="AC99" s="27" t="n">
        <v>1</v>
      </c>
    </row>
    <row r="100" customFormat="false" ht="15" hidden="false" customHeight="false" outlineLevel="0" collapsed="false">
      <c r="A100" s="9" t="s">
        <v>1041</v>
      </c>
      <c r="B100" s="9" t="s">
        <v>652</v>
      </c>
      <c r="C100" s="9" t="s">
        <v>829</v>
      </c>
      <c r="D100" s="9" t="n">
        <v>3</v>
      </c>
      <c r="E100" s="9" t="s">
        <v>425</v>
      </c>
      <c r="F100" s="9" t="s">
        <v>426</v>
      </c>
      <c r="G100" s="10" t="n">
        <v>600</v>
      </c>
      <c r="H100" s="9" t="s">
        <v>220</v>
      </c>
      <c r="I100" s="9" t="s">
        <v>427</v>
      </c>
      <c r="J100" s="9" t="s">
        <v>423</v>
      </c>
      <c r="K100" s="23" t="n">
        <v>132</v>
      </c>
      <c r="L100" s="10" t="n">
        <v>600</v>
      </c>
      <c r="M100" s="9" t="s">
        <v>86</v>
      </c>
      <c r="N100" s="9" t="s">
        <v>425</v>
      </c>
      <c r="O100" s="9" t="s">
        <v>220</v>
      </c>
      <c r="P100" s="9" t="s">
        <v>874</v>
      </c>
      <c r="Q100" s="9" t="s">
        <v>875</v>
      </c>
      <c r="R100" s="10" t="n">
        <v>600</v>
      </c>
      <c r="S100" s="9" t="s">
        <v>86</v>
      </c>
      <c r="T100" s="9" t="s">
        <v>425</v>
      </c>
      <c r="U100" s="9" t="s">
        <v>220</v>
      </c>
      <c r="V100" s="24" t="n">
        <v>0.96</v>
      </c>
      <c r="W100" s="9" t="s">
        <v>874</v>
      </c>
      <c r="X100" s="9" t="str">
        <f aca="false">IF(S100="New","Human approval (new SKU)",IF(OR(S100&lt;&gt;"Existing",W100&lt;&gt;"Valid",V100&lt;Decision_Rules!$C$6),"Human review","Auto-processed"))</f>
        <v>Auto-processed</v>
      </c>
      <c r="Y100" s="5" t="s">
        <v>876</v>
      </c>
      <c r="Z100" s="9" t="n">
        <f aca="false">IF(M100=S100,1,0)</f>
        <v>1</v>
      </c>
      <c r="AA100" s="9" t="n">
        <f aca="false">IF(P100=W100,1,0)</f>
        <v>1</v>
      </c>
      <c r="AB100" s="9" t="n">
        <f aca="false">IF(O100=U100,1,0)</f>
        <v>1</v>
      </c>
      <c r="AC100" s="27" t="n">
        <v>1</v>
      </c>
    </row>
    <row r="101" customFormat="false" ht="15" hidden="false" customHeight="false" outlineLevel="0" collapsed="false">
      <c r="A101" s="9" t="s">
        <v>1042</v>
      </c>
      <c r="B101" s="9" t="s">
        <v>657</v>
      </c>
      <c r="C101" s="9" t="s">
        <v>835</v>
      </c>
      <c r="D101" s="9" t="n">
        <v>1</v>
      </c>
      <c r="E101" s="9" t="s">
        <v>263</v>
      </c>
      <c r="F101" s="9" t="s">
        <v>264</v>
      </c>
      <c r="G101" s="10" t="n">
        <v>100</v>
      </c>
      <c r="H101" s="9" t="s">
        <v>220</v>
      </c>
      <c r="I101" s="9" t="s">
        <v>265</v>
      </c>
      <c r="J101" s="9" t="s">
        <v>251</v>
      </c>
      <c r="K101" s="23" t="n">
        <v>18</v>
      </c>
      <c r="L101" s="10" t="n">
        <v>100</v>
      </c>
      <c r="M101" s="9" t="s">
        <v>86</v>
      </c>
      <c r="N101" s="9" t="s">
        <v>263</v>
      </c>
      <c r="O101" s="9" t="s">
        <v>220</v>
      </c>
      <c r="P101" s="9" t="s">
        <v>874</v>
      </c>
      <c r="Q101" s="9" t="s">
        <v>875</v>
      </c>
      <c r="R101" s="10" t="n">
        <v>100</v>
      </c>
      <c r="S101" s="9" t="s">
        <v>86</v>
      </c>
      <c r="T101" s="9" t="s">
        <v>263</v>
      </c>
      <c r="U101" s="9" t="s">
        <v>220</v>
      </c>
      <c r="V101" s="24" t="n">
        <v>0.98</v>
      </c>
      <c r="W101" s="9" t="s">
        <v>874</v>
      </c>
      <c r="X101" s="9" t="str">
        <f aca="false">IF(S101="New","Human approval (new SKU)",IF(OR(S101&lt;&gt;"Existing",W101&lt;&gt;"Valid",V101&lt;Decision_Rules!$C$6),"Human review","Auto-processed"))</f>
        <v>Auto-processed</v>
      </c>
      <c r="Y101" s="5" t="s">
        <v>876</v>
      </c>
      <c r="Z101" s="9" t="n">
        <f aca="false">IF(M101=S101,1,0)</f>
        <v>1</v>
      </c>
      <c r="AA101" s="9" t="n">
        <f aca="false">IF(P101=W101,1,0)</f>
        <v>1</v>
      </c>
      <c r="AB101" s="9" t="n">
        <f aca="false">IF(O101=U101,1,0)</f>
        <v>1</v>
      </c>
      <c r="AC101" s="27" t="n">
        <v>1</v>
      </c>
    </row>
    <row r="102" customFormat="false" ht="15" hidden="false" customHeight="false" outlineLevel="0" collapsed="false">
      <c r="A102" s="9" t="s">
        <v>1043</v>
      </c>
      <c r="B102" s="9" t="s">
        <v>657</v>
      </c>
      <c r="C102" s="9" t="s">
        <v>835</v>
      </c>
      <c r="D102" s="9" t="n">
        <v>2</v>
      </c>
      <c r="E102" s="9" t="s">
        <v>255</v>
      </c>
      <c r="F102" s="9" t="s">
        <v>256</v>
      </c>
      <c r="G102" s="10" t="n">
        <v>1000</v>
      </c>
      <c r="H102" s="9" t="s">
        <v>220</v>
      </c>
      <c r="I102" s="9" t="s">
        <v>257</v>
      </c>
      <c r="J102" s="9" t="s">
        <v>251</v>
      </c>
      <c r="K102" s="23" t="n">
        <v>70</v>
      </c>
      <c r="L102" s="10" t="n">
        <v>1000</v>
      </c>
      <c r="M102" s="9" t="s">
        <v>86</v>
      </c>
      <c r="N102" s="9" t="s">
        <v>255</v>
      </c>
      <c r="O102" s="9" t="s">
        <v>220</v>
      </c>
      <c r="P102" s="9" t="s">
        <v>874</v>
      </c>
      <c r="Q102" s="9" t="s">
        <v>875</v>
      </c>
      <c r="R102" s="10" t="n">
        <v>1000</v>
      </c>
      <c r="S102" s="9" t="s">
        <v>86</v>
      </c>
      <c r="T102" s="9" t="s">
        <v>255</v>
      </c>
      <c r="U102" s="9" t="s">
        <v>220</v>
      </c>
      <c r="V102" s="24" t="n">
        <v>0.97</v>
      </c>
      <c r="W102" s="9" t="s">
        <v>874</v>
      </c>
      <c r="X102" s="9" t="str">
        <f aca="false">IF(S102="New","Human approval (new SKU)",IF(OR(S102&lt;&gt;"Existing",W102&lt;&gt;"Valid",V102&lt;Decision_Rules!$C$6),"Human review","Auto-processed"))</f>
        <v>Auto-processed</v>
      </c>
      <c r="Y102" s="5" t="s">
        <v>876</v>
      </c>
      <c r="Z102" s="9" t="n">
        <f aca="false">IF(M102=S102,1,0)</f>
        <v>1</v>
      </c>
      <c r="AA102" s="9" t="n">
        <f aca="false">IF(P102=W102,1,0)</f>
        <v>1</v>
      </c>
      <c r="AB102" s="9" t="n">
        <f aca="false">IF(O102=U102,1,0)</f>
        <v>1</v>
      </c>
      <c r="AC102" s="27" t="n">
        <v>1</v>
      </c>
    </row>
    <row r="103" customFormat="false" ht="15" hidden="false" customHeight="false" outlineLevel="0" collapsed="false">
      <c r="A103" s="9" t="s">
        <v>1044</v>
      </c>
      <c r="B103" s="9" t="s">
        <v>657</v>
      </c>
      <c r="C103" s="9" t="s">
        <v>835</v>
      </c>
      <c r="D103" s="9" t="n">
        <v>3</v>
      </c>
      <c r="E103" s="9" t="s">
        <v>277</v>
      </c>
      <c r="F103" s="9" t="s">
        <v>278</v>
      </c>
      <c r="G103" s="10" t="n">
        <v>120</v>
      </c>
      <c r="H103" s="9" t="s">
        <v>220</v>
      </c>
      <c r="I103" s="9" t="s">
        <v>275</v>
      </c>
      <c r="J103" s="9" t="s">
        <v>251</v>
      </c>
      <c r="K103" s="23" t="n">
        <v>6</v>
      </c>
      <c r="L103" s="10" t="n">
        <v>120</v>
      </c>
      <c r="M103" s="9" t="s">
        <v>86</v>
      </c>
      <c r="N103" s="9" t="s">
        <v>277</v>
      </c>
      <c r="O103" s="9" t="s">
        <v>220</v>
      </c>
      <c r="P103" s="9" t="s">
        <v>874</v>
      </c>
      <c r="Q103" s="9" t="s">
        <v>875</v>
      </c>
      <c r="R103" s="10" t="n">
        <v>120</v>
      </c>
      <c r="S103" s="9" t="s">
        <v>86</v>
      </c>
      <c r="T103" s="9" t="s">
        <v>277</v>
      </c>
      <c r="U103" s="9" t="s">
        <v>220</v>
      </c>
      <c r="V103" s="24" t="n">
        <v>0.97</v>
      </c>
      <c r="W103" s="9" t="s">
        <v>874</v>
      </c>
      <c r="X103" s="9" t="str">
        <f aca="false">IF(S103="New","Human approval (new SKU)",IF(OR(S103&lt;&gt;"Existing",W103&lt;&gt;"Valid",V103&lt;Decision_Rules!$C$6),"Human review","Auto-processed"))</f>
        <v>Auto-processed</v>
      </c>
      <c r="Y103" s="5" t="s">
        <v>876</v>
      </c>
      <c r="Z103" s="9" t="n">
        <f aca="false">IF(M103=S103,1,0)</f>
        <v>1</v>
      </c>
      <c r="AA103" s="9" t="n">
        <f aca="false">IF(P103=W103,1,0)</f>
        <v>1</v>
      </c>
      <c r="AB103" s="9" t="n">
        <f aca="false">IF(O103=U103,1,0)</f>
        <v>1</v>
      </c>
      <c r="AC103" s="27" t="n">
        <v>1</v>
      </c>
    </row>
    <row r="104" customFormat="false" ht="15" hidden="false" customHeight="false" outlineLevel="0" collapsed="false">
      <c r="A104" s="9" t="s">
        <v>1045</v>
      </c>
      <c r="B104" s="9" t="s">
        <v>662</v>
      </c>
      <c r="C104" s="9" t="s">
        <v>839</v>
      </c>
      <c r="D104" s="9" t="n">
        <v>1</v>
      </c>
      <c r="E104" s="9" t="s">
        <v>463</v>
      </c>
      <c r="F104" s="9" t="s">
        <v>464</v>
      </c>
      <c r="G104" s="10" t="n">
        <v>150</v>
      </c>
      <c r="H104" s="9" t="s">
        <v>220</v>
      </c>
      <c r="I104" s="9" t="s">
        <v>465</v>
      </c>
      <c r="J104" s="9" t="s">
        <v>445</v>
      </c>
      <c r="K104" s="23" t="n">
        <v>97.5</v>
      </c>
      <c r="L104" s="10" t="n">
        <v>150</v>
      </c>
      <c r="M104" s="9" t="s">
        <v>86</v>
      </c>
      <c r="N104" s="9" t="s">
        <v>463</v>
      </c>
      <c r="O104" s="9" t="s">
        <v>220</v>
      </c>
      <c r="P104" s="9" t="s">
        <v>874</v>
      </c>
      <c r="Q104" s="9" t="s">
        <v>875</v>
      </c>
      <c r="R104" s="10" t="n">
        <v>150</v>
      </c>
      <c r="S104" s="9" t="s">
        <v>86</v>
      </c>
      <c r="T104" s="9" t="s">
        <v>463</v>
      </c>
      <c r="U104" s="9" t="s">
        <v>220</v>
      </c>
      <c r="V104" s="24" t="n">
        <v>0.95</v>
      </c>
      <c r="W104" s="9" t="s">
        <v>874</v>
      </c>
      <c r="X104" s="9" t="str">
        <f aca="false">IF(S104="New","Human approval (new SKU)",IF(OR(S104&lt;&gt;"Existing",W104&lt;&gt;"Valid",V104&lt;Decision_Rules!$C$6),"Human review","Auto-processed"))</f>
        <v>Auto-processed</v>
      </c>
      <c r="Y104" s="5" t="s">
        <v>876</v>
      </c>
      <c r="Z104" s="9" t="n">
        <f aca="false">IF(M104=S104,1,0)</f>
        <v>1</v>
      </c>
      <c r="AA104" s="9" t="n">
        <f aca="false">IF(P104=W104,1,0)</f>
        <v>1</v>
      </c>
      <c r="AB104" s="9" t="n">
        <f aca="false">IF(O104=U104,1,0)</f>
        <v>1</v>
      </c>
      <c r="AC104" s="27" t="n">
        <v>1</v>
      </c>
    </row>
    <row r="105" customFormat="false" ht="15" hidden="false" customHeight="false" outlineLevel="0" collapsed="false">
      <c r="A105" s="9" t="s">
        <v>1046</v>
      </c>
      <c r="B105" s="9" t="s">
        <v>662</v>
      </c>
      <c r="C105" s="9" t="s">
        <v>839</v>
      </c>
      <c r="D105" s="9" t="n">
        <v>2</v>
      </c>
      <c r="E105" s="9" t="s">
        <v>472</v>
      </c>
      <c r="F105" s="9" t="s">
        <v>473</v>
      </c>
      <c r="G105" s="10" t="n">
        <v>240</v>
      </c>
      <c r="H105" s="9" t="s">
        <v>220</v>
      </c>
      <c r="I105" s="9" t="s">
        <v>474</v>
      </c>
      <c r="J105" s="9" t="s">
        <v>453</v>
      </c>
      <c r="K105" s="23" t="n">
        <v>103.2</v>
      </c>
      <c r="L105" s="10" t="n">
        <v>240</v>
      </c>
      <c r="M105" s="9" t="s">
        <v>86</v>
      </c>
      <c r="N105" s="9" t="s">
        <v>472</v>
      </c>
      <c r="O105" s="9" t="s">
        <v>220</v>
      </c>
      <c r="P105" s="9" t="s">
        <v>874</v>
      </c>
      <c r="Q105" s="9" t="s">
        <v>875</v>
      </c>
      <c r="R105" s="10" t="n">
        <v>240</v>
      </c>
      <c r="S105" s="9" t="s">
        <v>86</v>
      </c>
      <c r="T105" s="9" t="s">
        <v>472</v>
      </c>
      <c r="U105" s="9" t="s">
        <v>220</v>
      </c>
      <c r="V105" s="24" t="n">
        <v>0.95</v>
      </c>
      <c r="W105" s="9" t="s">
        <v>874</v>
      </c>
      <c r="X105" s="9" t="str">
        <f aca="false">IF(S105="New","Human approval (new SKU)",IF(OR(S105&lt;&gt;"Existing",W105&lt;&gt;"Valid",V105&lt;Decision_Rules!$C$6),"Human review","Auto-processed"))</f>
        <v>Auto-processed</v>
      </c>
      <c r="Y105" s="5" t="s">
        <v>876</v>
      </c>
      <c r="Z105" s="9" t="n">
        <f aca="false">IF(M105=S105,1,0)</f>
        <v>1</v>
      </c>
      <c r="AA105" s="9" t="n">
        <f aca="false">IF(P105=W105,1,0)</f>
        <v>1</v>
      </c>
      <c r="AB105" s="9" t="n">
        <f aca="false">IF(O105=U105,1,0)</f>
        <v>1</v>
      </c>
      <c r="AC105" s="27" t="n">
        <v>1</v>
      </c>
    </row>
    <row r="106" customFormat="false" ht="15" hidden="false" customHeight="false" outlineLevel="0" collapsed="false">
      <c r="A106" s="9" t="s">
        <v>1047</v>
      </c>
      <c r="B106" s="9" t="s">
        <v>662</v>
      </c>
      <c r="C106" s="9" t="s">
        <v>839</v>
      </c>
      <c r="D106" s="9" t="n">
        <v>3</v>
      </c>
      <c r="E106" s="9" t="s">
        <v>466</v>
      </c>
      <c r="F106" s="9" t="s">
        <v>467</v>
      </c>
      <c r="G106" s="10" t="n">
        <v>1000</v>
      </c>
      <c r="H106" s="9" t="s">
        <v>220</v>
      </c>
      <c r="I106" s="9" t="s">
        <v>468</v>
      </c>
      <c r="J106" s="9" t="s">
        <v>445</v>
      </c>
      <c r="K106" s="23" t="n">
        <v>550</v>
      </c>
      <c r="L106" s="10" t="n">
        <v>1000</v>
      </c>
      <c r="M106" s="9" t="s">
        <v>86</v>
      </c>
      <c r="N106" s="9" t="s">
        <v>466</v>
      </c>
      <c r="O106" s="9" t="s">
        <v>220</v>
      </c>
      <c r="P106" s="9" t="s">
        <v>874</v>
      </c>
      <c r="Q106" s="9" t="s">
        <v>875</v>
      </c>
      <c r="R106" s="10" t="n">
        <v>1000</v>
      </c>
      <c r="S106" s="9" t="s">
        <v>86</v>
      </c>
      <c r="T106" s="9" t="s">
        <v>466</v>
      </c>
      <c r="U106" s="9" t="s">
        <v>220</v>
      </c>
      <c r="V106" s="24" t="n">
        <v>0.96</v>
      </c>
      <c r="W106" s="9" t="s">
        <v>874</v>
      </c>
      <c r="X106" s="9" t="str">
        <f aca="false">IF(S106="New","Human approval (new SKU)",IF(OR(S106&lt;&gt;"Existing",W106&lt;&gt;"Valid",V106&lt;Decision_Rules!$C$6),"Human review","Auto-processed"))</f>
        <v>Auto-processed</v>
      </c>
      <c r="Y106" s="5" t="s">
        <v>876</v>
      </c>
      <c r="Z106" s="9" t="n">
        <f aca="false">IF(M106=S106,1,0)</f>
        <v>1</v>
      </c>
      <c r="AA106" s="9" t="n">
        <f aca="false">IF(P106=W106,1,0)</f>
        <v>1</v>
      </c>
      <c r="AB106" s="9" t="n">
        <f aca="false">IF(O106=U106,1,0)</f>
        <v>1</v>
      </c>
      <c r="AC106" s="27" t="n">
        <v>1</v>
      </c>
    </row>
    <row r="107" customFormat="false" ht="15" hidden="false" customHeight="false" outlineLevel="0" collapsed="false">
      <c r="A107" s="9" t="s">
        <v>1048</v>
      </c>
      <c r="B107" s="9" t="s">
        <v>662</v>
      </c>
      <c r="C107" s="9" t="s">
        <v>839</v>
      </c>
      <c r="D107" s="9" t="n">
        <v>4</v>
      </c>
      <c r="E107" s="9" t="s">
        <v>442</v>
      </c>
      <c r="F107" s="9" t="s">
        <v>443</v>
      </c>
      <c r="G107" s="10" t="n">
        <v>1000</v>
      </c>
      <c r="H107" s="9" t="s">
        <v>220</v>
      </c>
      <c r="I107" s="9" t="s">
        <v>444</v>
      </c>
      <c r="J107" s="9" t="s">
        <v>445</v>
      </c>
      <c r="K107" s="23" t="n">
        <v>1050</v>
      </c>
      <c r="L107" s="10" t="n">
        <v>1000</v>
      </c>
      <c r="M107" s="9" t="s">
        <v>86</v>
      </c>
      <c r="N107" s="9" t="s">
        <v>442</v>
      </c>
      <c r="O107" s="9" t="s">
        <v>220</v>
      </c>
      <c r="P107" s="9" t="s">
        <v>874</v>
      </c>
      <c r="Q107" s="9" t="s">
        <v>875</v>
      </c>
      <c r="R107" s="10" t="n">
        <v>1000</v>
      </c>
      <c r="S107" s="9" t="s">
        <v>86</v>
      </c>
      <c r="T107" s="9" t="s">
        <v>442</v>
      </c>
      <c r="U107" s="9" t="s">
        <v>220</v>
      </c>
      <c r="V107" s="24" t="n">
        <v>0.98</v>
      </c>
      <c r="W107" s="9" t="s">
        <v>874</v>
      </c>
      <c r="X107" s="9" t="str">
        <f aca="false">IF(S107="New","Human approval (new SKU)",IF(OR(S107&lt;&gt;"Existing",W107&lt;&gt;"Valid",V107&lt;Decision_Rules!$C$6),"Human review","Auto-processed"))</f>
        <v>Auto-processed</v>
      </c>
      <c r="Y107" s="5" t="s">
        <v>876</v>
      </c>
      <c r="Z107" s="9" t="n">
        <f aca="false">IF(M107=S107,1,0)</f>
        <v>1</v>
      </c>
      <c r="AA107" s="9" t="n">
        <f aca="false">IF(P107=W107,1,0)</f>
        <v>1</v>
      </c>
      <c r="AB107" s="9" t="n">
        <f aca="false">IF(O107=U107,1,0)</f>
        <v>1</v>
      </c>
      <c r="AC107" s="27" t="n">
        <v>1</v>
      </c>
    </row>
  </sheetData>
  <autoFilter ref="A4:AC91"/>
  <mergeCells count="1">
    <mergeCell ref="A1:A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J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6" min="5" style="0" width="17"/>
    <col collapsed="false" customWidth="true" hidden="false" outlineLevel="0" max="7" min="7" style="0" width="62"/>
    <col collapsed="false" customWidth="true" hidden="false" outlineLevel="0" max="8" min="8" style="0" width="12"/>
    <col collapsed="false" customWidth="true" hidden="false" outlineLevel="0" max="9" min="9" style="0" width="11"/>
    <col collapsed="false" customWidth="true" hidden="false" outlineLevel="0" max="10" min="10" style="0" width="14"/>
  </cols>
  <sheetData>
    <row r="1" customFormat="false" ht="15" hidden="false" customHeight="false" outlineLevel="0" collapsed="false">
      <c r="A1" s="1" t="s">
        <v>0</v>
      </c>
      <c r="B1" s="1"/>
      <c r="C1" s="1"/>
      <c r="D1" s="1"/>
      <c r="E1" s="1"/>
      <c r="F1" s="1"/>
      <c r="G1" s="1"/>
      <c r="H1" s="1"/>
      <c r="I1" s="1"/>
      <c r="J1" s="1"/>
    </row>
    <row r="2" customFormat="false" ht="17.35" hidden="false" customHeight="false" outlineLevel="0" collapsed="false">
      <c r="A2" s="2" t="s">
        <v>1049</v>
      </c>
    </row>
    <row r="3" customFormat="false" ht="15" hidden="false" customHeight="false" outlineLevel="0" collapsed="false">
      <c r="A3" s="3" t="s">
        <v>1050</v>
      </c>
    </row>
    <row r="4" customFormat="false" ht="31.5" hidden="false" customHeight="true" outlineLevel="0" collapsed="false">
      <c r="A4" s="19" t="s">
        <v>1051</v>
      </c>
      <c r="B4" s="19" t="s">
        <v>478</v>
      </c>
      <c r="C4" s="19" t="s">
        <v>1052</v>
      </c>
      <c r="D4" s="19" t="s">
        <v>847</v>
      </c>
      <c r="E4" s="19" t="s">
        <v>1053</v>
      </c>
      <c r="F4" s="19" t="s">
        <v>1054</v>
      </c>
      <c r="G4" s="19" t="s">
        <v>1055</v>
      </c>
      <c r="H4" s="20" t="s">
        <v>1056</v>
      </c>
      <c r="I4" s="21" t="s">
        <v>1057</v>
      </c>
      <c r="J4" s="22" t="s">
        <v>1058</v>
      </c>
    </row>
    <row r="5" customFormat="false" ht="22.35" hidden="false" customHeight="false" outlineLevel="0" collapsed="false">
      <c r="A5" s="9" t="s">
        <v>1059</v>
      </c>
      <c r="B5" s="9" t="s">
        <v>528</v>
      </c>
      <c r="C5" s="9" t="s">
        <v>1060</v>
      </c>
      <c r="D5" s="9" t="s">
        <v>903</v>
      </c>
      <c r="E5" s="9" t="s">
        <v>1061</v>
      </c>
      <c r="F5" s="9" t="s">
        <v>852</v>
      </c>
      <c r="G5" s="5" t="s">
        <v>1062</v>
      </c>
      <c r="H5" s="9" t="s">
        <v>712</v>
      </c>
      <c r="I5" s="9" t="s">
        <v>680</v>
      </c>
      <c r="J5" s="9" t="str">
        <f aca="false">IF(AND(H5="Yes",I5="Yes"),"Detected",IF(H5="Yes","MISSED","False alarm"))</f>
        <v>False alarm</v>
      </c>
    </row>
    <row r="6" customFormat="false" ht="15" hidden="false" customHeight="false" outlineLevel="0" collapsed="false">
      <c r="A6" s="9" t="s">
        <v>1063</v>
      </c>
      <c r="B6" s="9" t="s">
        <v>565</v>
      </c>
      <c r="C6" s="9" t="s">
        <v>1060</v>
      </c>
      <c r="D6" s="9" t="s">
        <v>948</v>
      </c>
      <c r="E6" s="9" t="s">
        <v>949</v>
      </c>
      <c r="F6" s="9" t="s">
        <v>852</v>
      </c>
      <c r="G6" s="5" t="s">
        <v>1064</v>
      </c>
      <c r="H6" s="9" t="s">
        <v>680</v>
      </c>
      <c r="I6" s="9" t="s">
        <v>680</v>
      </c>
      <c r="J6" s="9" t="str">
        <f aca="false">IF(AND(H6="Yes",I6="Yes"),"Detected",IF(H6="Yes","MISSED","False alarm"))</f>
        <v>Detected</v>
      </c>
    </row>
    <row r="7" customFormat="false" ht="15" hidden="false" customHeight="false" outlineLevel="0" collapsed="false">
      <c r="A7" s="9" t="s">
        <v>1065</v>
      </c>
      <c r="B7" s="9" t="s">
        <v>584</v>
      </c>
      <c r="C7" s="9" t="s">
        <v>1066</v>
      </c>
      <c r="D7" s="9" t="s">
        <v>1067</v>
      </c>
      <c r="E7" s="9" t="s">
        <v>1068</v>
      </c>
      <c r="F7" s="9" t="s">
        <v>684</v>
      </c>
      <c r="G7" s="5" t="s">
        <v>1069</v>
      </c>
      <c r="H7" s="9" t="s">
        <v>680</v>
      </c>
      <c r="I7" s="9" t="s">
        <v>680</v>
      </c>
      <c r="J7" s="9" t="str">
        <f aca="false">IF(AND(H7="Yes",I7="Yes"),"Detected",IF(H7="Yes","MISSED","False alarm"))</f>
        <v>Detected</v>
      </c>
    </row>
    <row r="8" customFormat="false" ht="15" hidden="false" customHeight="false" outlineLevel="0" collapsed="false">
      <c r="A8" s="9" t="s">
        <v>1070</v>
      </c>
      <c r="B8" s="9" t="s">
        <v>596</v>
      </c>
      <c r="C8" s="9" t="s">
        <v>1060</v>
      </c>
      <c r="D8" s="9" t="s">
        <v>976</v>
      </c>
      <c r="E8" s="9" t="s">
        <v>904</v>
      </c>
      <c r="F8" s="9" t="s">
        <v>1071</v>
      </c>
      <c r="G8" s="5" t="s">
        <v>1072</v>
      </c>
      <c r="H8" s="9" t="s">
        <v>680</v>
      </c>
      <c r="I8" s="9" t="s">
        <v>680</v>
      </c>
      <c r="J8" s="9" t="str">
        <f aca="false">IF(AND(H8="Yes",I8="Yes"),"Detected",IF(H8="Yes","MISSED","False alarm"))</f>
        <v>Detected</v>
      </c>
    </row>
    <row r="9" customFormat="false" ht="15" hidden="false" customHeight="false" outlineLevel="0" collapsed="false">
      <c r="A9" s="9" t="s">
        <v>1073</v>
      </c>
      <c r="B9" s="9" t="s">
        <v>608</v>
      </c>
      <c r="C9" s="9" t="s">
        <v>1060</v>
      </c>
      <c r="D9" s="9" t="s">
        <v>995</v>
      </c>
      <c r="E9" s="9" t="s">
        <v>996</v>
      </c>
      <c r="F9" s="9" t="s">
        <v>1074</v>
      </c>
      <c r="G9" s="5" t="s">
        <v>1075</v>
      </c>
      <c r="H9" s="9" t="s">
        <v>680</v>
      </c>
      <c r="I9" s="9" t="s">
        <v>680</v>
      </c>
      <c r="J9" s="9" t="str">
        <f aca="false">IF(AND(H9="Yes",I9="Yes"),"Detected",IF(H9="Yes","MISSED","False alarm"))</f>
        <v>Detected</v>
      </c>
    </row>
    <row r="10" customFormat="false" ht="15" hidden="false" customHeight="false" outlineLevel="0" collapsed="false">
      <c r="A10" s="9" t="s">
        <v>1076</v>
      </c>
      <c r="B10" s="9" t="s">
        <v>625</v>
      </c>
      <c r="C10" s="9" t="s">
        <v>1060</v>
      </c>
      <c r="D10" s="9" t="s">
        <v>1015</v>
      </c>
      <c r="E10" s="9" t="s">
        <v>904</v>
      </c>
      <c r="F10" s="9" t="s">
        <v>852</v>
      </c>
      <c r="G10" s="5" t="s">
        <v>1077</v>
      </c>
      <c r="H10" s="9" t="s">
        <v>680</v>
      </c>
      <c r="I10" s="9" t="s">
        <v>680</v>
      </c>
      <c r="J10" s="9" t="str">
        <f aca="false">IF(AND(H10="Yes",I10="Yes"),"Detected",IF(H10="Yes","MISSED","False alarm"))</f>
        <v>Detected</v>
      </c>
    </row>
    <row r="11" customFormat="false" ht="15" hidden="false" customHeight="false" outlineLevel="0" collapsed="false">
      <c r="A11" s="9" t="s">
        <v>1078</v>
      </c>
      <c r="B11" s="9" t="s">
        <v>637</v>
      </c>
      <c r="C11" s="9" t="s">
        <v>1066</v>
      </c>
      <c r="D11" s="9" t="s">
        <v>1067</v>
      </c>
      <c r="E11" s="9" t="s">
        <v>904</v>
      </c>
      <c r="F11" s="9" t="s">
        <v>1079</v>
      </c>
      <c r="G11" s="5" t="s">
        <v>1080</v>
      </c>
      <c r="H11" s="9" t="s">
        <v>680</v>
      </c>
      <c r="I11" s="9" t="s">
        <v>712</v>
      </c>
      <c r="J11" s="9" t="str">
        <f aca="false">IF(AND(H11="Yes",I11="Yes"),"Detected",IF(H11="Yes","MISSED","False alarm"))</f>
        <v>MISSED</v>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P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4" min="4" style="0" width="10"/>
    <col collapsed="false" customWidth="true" hidden="false" outlineLevel="0" max="5" min="5" style="0" width="44"/>
    <col collapsed="false" customWidth="true" hidden="false" outlineLevel="0" max="7" min="6" style="0" width="7"/>
    <col collapsed="false" customWidth="true" hidden="false" outlineLevel="0" max="9" min="8" style="0" width="9"/>
    <col collapsed="false" customWidth="true" hidden="false" outlineLevel="0" max="11" min="10" style="0" width="10"/>
    <col collapsed="false" customWidth="true" hidden="false" outlineLevel="0" max="13" min="12" style="0" width="11"/>
    <col collapsed="false" customWidth="true" hidden="false" outlineLevel="0" max="14" min="14" style="0" width="15"/>
    <col collapsed="false" customWidth="true" hidden="false" outlineLevel="0" max="15" min="15" style="0" width="16"/>
    <col collapsed="false" customWidth="true" hidden="false" outlineLevel="0" max="16" min="16" style="0" width="26"/>
  </cols>
  <sheetData>
    <row r="1" customFormat="false" ht="15" hidden="false" customHeight="false" outlineLevel="0" collapsed="false">
      <c r="A1" s="1" t="s">
        <v>0</v>
      </c>
      <c r="B1" s="1"/>
      <c r="C1" s="1"/>
      <c r="D1" s="1"/>
      <c r="E1" s="1"/>
      <c r="F1" s="1"/>
      <c r="G1" s="1"/>
      <c r="H1" s="1"/>
      <c r="I1" s="1"/>
      <c r="J1" s="1"/>
      <c r="K1" s="1"/>
      <c r="L1" s="1"/>
      <c r="M1" s="1"/>
      <c r="N1" s="1"/>
      <c r="O1" s="1"/>
      <c r="P1" s="1"/>
    </row>
    <row r="2" customFormat="false" ht="17.35" hidden="false" customHeight="false" outlineLevel="0" collapsed="false">
      <c r="A2" s="2" t="s">
        <v>1081</v>
      </c>
    </row>
    <row r="3" customFormat="false" ht="15" hidden="false" customHeight="false" outlineLevel="0" collapsed="false">
      <c r="A3" s="3" t="s">
        <v>14</v>
      </c>
    </row>
    <row r="4" customFormat="false" ht="31.5" hidden="false" customHeight="true" outlineLevel="0" collapsed="false">
      <c r="A4" s="19" t="s">
        <v>478</v>
      </c>
      <c r="B4" s="19" t="s">
        <v>477</v>
      </c>
      <c r="C4" s="19" t="s">
        <v>1082</v>
      </c>
      <c r="D4" s="19" t="s">
        <v>212</v>
      </c>
      <c r="E4" s="19" t="s">
        <v>1083</v>
      </c>
      <c r="F4" s="19" t="s">
        <v>1084</v>
      </c>
      <c r="G4" s="19" t="s">
        <v>1085</v>
      </c>
      <c r="H4" s="21" t="s">
        <v>1086</v>
      </c>
      <c r="I4" s="21" t="s">
        <v>1087</v>
      </c>
      <c r="J4" s="21" t="s">
        <v>1088</v>
      </c>
      <c r="K4" s="21" t="s">
        <v>1089</v>
      </c>
      <c r="L4" s="20" t="s">
        <v>1090</v>
      </c>
      <c r="M4" s="20" t="s">
        <v>1091</v>
      </c>
      <c r="N4" s="20" t="s">
        <v>1092</v>
      </c>
      <c r="O4" s="21" t="s">
        <v>867</v>
      </c>
      <c r="P4" s="22" t="s">
        <v>1058</v>
      </c>
    </row>
    <row r="5" customFormat="false" ht="15" hidden="false" customHeight="false" outlineLevel="0" collapsed="false">
      <c r="A5" s="9" t="s">
        <v>489</v>
      </c>
      <c r="B5" s="9" t="str">
        <f aca="false">Inbound_Emails!A5</f>
        <v>SYN-EM-001</v>
      </c>
      <c r="C5" s="9" t="str">
        <f aca="false">LEFT(Inbound_Emails!C5,10)</f>
        <v>2026-09-01</v>
      </c>
      <c r="D5" s="9" t="str">
        <f aca="false">Inbound_Emails!F5</f>
        <v>SUP-001</v>
      </c>
      <c r="E5" s="5" t="str">
        <f aca="false">Inbound_Emails!M5</f>
        <v>Clean – Test Case A</v>
      </c>
      <c r="F5" s="9" t="n">
        <f aca="false">COUNTIF(Documents!$B$5:$B$83,A5)</f>
        <v>3</v>
      </c>
      <c r="G5" s="9" t="n">
        <f aca="false">COUNTIF(Line_Items!$B$5:$B$107,A5)</f>
        <v>4</v>
      </c>
      <c r="H5" s="9" t="n">
        <f aca="false">COUNTIFS(Line_Items!$B$5:$B$107,A5,Line_Items!$X$5:$X$107,"Auto-processed")</f>
        <v>4</v>
      </c>
      <c r="I5" s="9" t="n">
        <f aca="false">G5-H5</f>
        <v>0</v>
      </c>
      <c r="J5" s="9" t="n">
        <f aca="false">COUNTIFS(Documents!$B$5:$B$83,A5,Documents!$L$5:$L$83,"Human confirm")</f>
        <v>0</v>
      </c>
      <c r="K5" s="9" t="n">
        <f aca="false">COUNTIFS(Exceptions!$B$5:$B$11,A5,Exceptions!$C$5:$C$11,"Shipment",Exceptions!$I$5:$I$11,"Yes")</f>
        <v>0</v>
      </c>
      <c r="L5" s="9" t="n">
        <f aca="false">SUMPRODUCT((Line_Items!$B$5:$B$107=A5)*(((Line_Items!$M$5:$M$107&lt;&gt;"Existing")+(Line_Items!$P$5:$P$107&lt;&gt;"Valid"))&gt;0))</f>
        <v>0</v>
      </c>
      <c r="M5" s="9" t="n">
        <f aca="false">COUNTIFS(Exceptions!$B$5:$B$11,A5,Exceptions!$C$5:$C$11,"Shipment",Exceptions!$H$5:$H$11,"Yes")</f>
        <v>0</v>
      </c>
      <c r="N5" s="9" t="str">
        <f aca="false">IF(L5+M5=0,"Clean","Requires review")</f>
        <v>Clean</v>
      </c>
      <c r="O5" s="9" t="str">
        <f aca="false">IF(I5+J5+K5=0,"Auto-processed","Human review")</f>
        <v>Auto-processed</v>
      </c>
      <c r="P5" s="9" t="str">
        <f aca="false">IF(AND(N5="Clean",O5="Auto-processed"),"Correct – straight-through",IF(AND(N5="Requires review",O5="Human review"),"Correct – caught",IF(N5="Clean","Unnecessary review","MISSED – wrongly auto-processed")))</f>
        <v>Correct – straight-through</v>
      </c>
    </row>
    <row r="6" customFormat="false" ht="15" hidden="false" customHeight="false" outlineLevel="0" collapsed="false">
      <c r="A6" s="9" t="s">
        <v>497</v>
      </c>
      <c r="B6" s="9" t="str">
        <f aca="false">Inbound_Emails!A6</f>
        <v>SYN-EM-002</v>
      </c>
      <c r="C6" s="9" t="str">
        <f aca="false">LEFT(Inbound_Emails!C6,10)</f>
        <v>2026-09-01</v>
      </c>
      <c r="D6" s="9" t="str">
        <f aca="false">Inbound_Emails!F6</f>
        <v>SUP-003</v>
      </c>
      <c r="E6" s="5" t="str">
        <f aca="false">Inbound_Emails!M6</f>
        <v>Clean</v>
      </c>
      <c r="F6" s="9" t="n">
        <f aca="false">COUNTIF(Documents!$B$5:$B$83,A6)</f>
        <v>2</v>
      </c>
      <c r="G6" s="9" t="n">
        <f aca="false">COUNTIF(Line_Items!$B$5:$B$107,A6)</f>
        <v>3</v>
      </c>
      <c r="H6" s="9" t="n">
        <f aca="false">COUNTIFS(Line_Items!$B$5:$B$107,A6,Line_Items!$X$5:$X$107,"Auto-processed")</f>
        <v>3</v>
      </c>
      <c r="I6" s="9" t="n">
        <f aca="false">G6-H6</f>
        <v>0</v>
      </c>
      <c r="J6" s="9" t="n">
        <f aca="false">COUNTIFS(Documents!$B$5:$B$83,A6,Documents!$L$5:$L$83,"Human confirm")</f>
        <v>0</v>
      </c>
      <c r="K6" s="9" t="n">
        <f aca="false">COUNTIFS(Exceptions!$B$5:$B$11,A6,Exceptions!$C$5:$C$11,"Shipment",Exceptions!$I$5:$I$11,"Yes")</f>
        <v>0</v>
      </c>
      <c r="L6" s="9" t="n">
        <f aca="false">SUMPRODUCT((Line_Items!$B$5:$B$107=A6)*(((Line_Items!$M$5:$M$107&lt;&gt;"Existing")+(Line_Items!$P$5:$P$107&lt;&gt;"Valid"))&gt;0))</f>
        <v>0</v>
      </c>
      <c r="M6" s="9" t="n">
        <f aca="false">COUNTIFS(Exceptions!$B$5:$B$11,A6,Exceptions!$C$5:$C$11,"Shipment",Exceptions!$H$5:$H$11,"Yes")</f>
        <v>0</v>
      </c>
      <c r="N6" s="9" t="str">
        <f aca="false">IF(L6+M6=0,"Clean","Requires review")</f>
        <v>Clean</v>
      </c>
      <c r="O6" s="9" t="str">
        <f aca="false">IF(I6+J6+K6=0,"Auto-processed","Human review")</f>
        <v>Auto-processed</v>
      </c>
      <c r="P6" s="9" t="str">
        <f aca="false">IF(AND(N6="Clean",O6="Auto-processed"),"Correct – straight-through",IF(AND(N6="Requires review",O6="Human review"),"Correct – caught",IF(N6="Clean","Unnecessary review","MISSED – wrongly auto-processed")))</f>
        <v>Correct – straight-through</v>
      </c>
    </row>
    <row r="7" customFormat="false" ht="15" hidden="false" customHeight="false" outlineLevel="0" collapsed="false">
      <c r="A7" s="9" t="s">
        <v>504</v>
      </c>
      <c r="B7" s="9" t="str">
        <f aca="false">Inbound_Emails!A7</f>
        <v>SYN-EM-003</v>
      </c>
      <c r="C7" s="9" t="str">
        <f aca="false">LEFT(Inbound_Emails!C7,10)</f>
        <v>2026-09-01</v>
      </c>
      <c r="D7" s="9" t="str">
        <f aca="false">Inbound_Emails!F7</f>
        <v>SUP-006</v>
      </c>
      <c r="E7" s="5" t="str">
        <f aca="false">Inbound_Emails!M7</f>
        <v>Clean; UOM 'Pieces' (Case 6)</v>
      </c>
      <c r="F7" s="9" t="n">
        <f aca="false">COUNTIF(Documents!$B$5:$B$83,A7)</f>
        <v>2</v>
      </c>
      <c r="G7" s="9" t="n">
        <f aca="false">COUNTIF(Line_Items!$B$5:$B$107,A7)</f>
        <v>3</v>
      </c>
      <c r="H7" s="9" t="n">
        <f aca="false">COUNTIFS(Line_Items!$B$5:$B$107,A7,Line_Items!$X$5:$X$107,"Auto-processed")</f>
        <v>3</v>
      </c>
      <c r="I7" s="9" t="n">
        <f aca="false">G7-H7</f>
        <v>0</v>
      </c>
      <c r="J7" s="9" t="n">
        <f aca="false">COUNTIFS(Documents!$B$5:$B$83,A7,Documents!$L$5:$L$83,"Human confirm")</f>
        <v>0</v>
      </c>
      <c r="K7" s="9" t="n">
        <f aca="false">COUNTIFS(Exceptions!$B$5:$B$11,A7,Exceptions!$C$5:$C$11,"Shipment",Exceptions!$I$5:$I$11,"Yes")</f>
        <v>0</v>
      </c>
      <c r="L7" s="9" t="n">
        <f aca="false">SUMPRODUCT((Line_Items!$B$5:$B$107=A7)*(((Line_Items!$M$5:$M$107&lt;&gt;"Existing")+(Line_Items!$P$5:$P$107&lt;&gt;"Valid"))&gt;0))</f>
        <v>0</v>
      </c>
      <c r="M7" s="9" t="n">
        <f aca="false">COUNTIFS(Exceptions!$B$5:$B$11,A7,Exceptions!$C$5:$C$11,"Shipment",Exceptions!$H$5:$H$11,"Yes")</f>
        <v>0</v>
      </c>
      <c r="N7" s="9" t="str">
        <f aca="false">IF(L7+M7=0,"Clean","Requires review")</f>
        <v>Clean</v>
      </c>
      <c r="O7" s="9" t="str">
        <f aca="false">IF(I7+J7+K7=0,"Auto-processed","Human review")</f>
        <v>Auto-processed</v>
      </c>
      <c r="P7" s="9" t="str">
        <f aca="false">IF(AND(N7="Clean",O7="Auto-processed"),"Correct – straight-through",IF(AND(N7="Requires review",O7="Human review"),"Correct – caught",IF(N7="Clean","Unnecessary review","MISSED – wrongly auto-processed")))</f>
        <v>Correct – straight-through</v>
      </c>
    </row>
    <row r="8" customFormat="false" ht="15" hidden="false" customHeight="false" outlineLevel="0" collapsed="false">
      <c r="A8" s="9" t="s">
        <v>511</v>
      </c>
      <c r="B8" s="9" t="str">
        <f aca="false">Inbound_Emails!A8</f>
        <v>SYN-EM-004</v>
      </c>
      <c r="C8" s="9" t="str">
        <f aca="false">LEFT(Inbound_Emails!C8,10)</f>
        <v>2026-09-02</v>
      </c>
      <c r="D8" s="9" t="str">
        <f aca="false">Inbound_Emails!F8</f>
        <v>SUP-001</v>
      </c>
      <c r="E8" s="5" t="str">
        <f aca="false">Inbound_Emails!M8</f>
        <v>Description variation (Case 2)</v>
      </c>
      <c r="F8" s="9" t="n">
        <f aca="false">COUNTIF(Documents!$B$5:$B$83,A8)</f>
        <v>3</v>
      </c>
      <c r="G8" s="9" t="n">
        <f aca="false">COUNTIF(Line_Items!$B$5:$B$107,A8)</f>
        <v>3</v>
      </c>
      <c r="H8" s="9" t="n">
        <f aca="false">COUNTIFS(Line_Items!$B$5:$B$107,A8,Line_Items!$X$5:$X$107,"Auto-processed")</f>
        <v>3</v>
      </c>
      <c r="I8" s="9" t="n">
        <f aca="false">G8-H8</f>
        <v>0</v>
      </c>
      <c r="J8" s="9" t="n">
        <f aca="false">COUNTIFS(Documents!$B$5:$B$83,A8,Documents!$L$5:$L$83,"Human confirm")</f>
        <v>0</v>
      </c>
      <c r="K8" s="9" t="n">
        <f aca="false">COUNTIFS(Exceptions!$B$5:$B$11,A8,Exceptions!$C$5:$C$11,"Shipment",Exceptions!$I$5:$I$11,"Yes")</f>
        <v>0</v>
      </c>
      <c r="L8" s="9" t="n">
        <f aca="false">SUMPRODUCT((Line_Items!$B$5:$B$107=A8)*(((Line_Items!$M$5:$M$107&lt;&gt;"Existing")+(Line_Items!$P$5:$P$107&lt;&gt;"Valid"))&gt;0))</f>
        <v>0</v>
      </c>
      <c r="M8" s="9" t="n">
        <f aca="false">COUNTIFS(Exceptions!$B$5:$B$11,A8,Exceptions!$C$5:$C$11,"Shipment",Exceptions!$H$5:$H$11,"Yes")</f>
        <v>0</v>
      </c>
      <c r="N8" s="9" t="str">
        <f aca="false">IF(L8+M8=0,"Clean","Requires review")</f>
        <v>Clean</v>
      </c>
      <c r="O8" s="9" t="str">
        <f aca="false">IF(I8+J8+K8=0,"Auto-processed","Human review")</f>
        <v>Auto-processed</v>
      </c>
      <c r="P8" s="9" t="str">
        <f aca="false">IF(AND(N8="Clean",O8="Auto-processed"),"Correct – straight-through",IF(AND(N8="Requires review",O8="Human review"),"Correct – caught",IF(N8="Clean","Unnecessary review","MISSED – wrongly auto-processed")))</f>
        <v>Correct – straight-through</v>
      </c>
    </row>
    <row r="9" customFormat="false" ht="15" hidden="false" customHeight="false" outlineLevel="0" collapsed="false">
      <c r="A9" s="9" t="s">
        <v>517</v>
      </c>
      <c r="B9" s="9" t="str">
        <f aca="false">Inbound_Emails!A9</f>
        <v>SYN-EM-005</v>
      </c>
      <c r="C9" s="9" t="str">
        <f aca="false">LEFT(Inbound_Emails!C9,10)</f>
        <v>2026-09-02</v>
      </c>
      <c r="D9" s="9" t="str">
        <f aca="false">Inbound_Emails!F9</f>
        <v>SUP-007</v>
      </c>
      <c r="E9" s="5" t="str">
        <f aca="false">Inbound_Emails!M9</f>
        <v>Clean</v>
      </c>
      <c r="F9" s="9" t="n">
        <f aca="false">COUNTIF(Documents!$B$5:$B$83,A9)</f>
        <v>4</v>
      </c>
      <c r="G9" s="9" t="n">
        <f aca="false">COUNTIF(Line_Items!$B$5:$B$107,A9)</f>
        <v>4</v>
      </c>
      <c r="H9" s="9" t="n">
        <f aca="false">COUNTIFS(Line_Items!$B$5:$B$107,A9,Line_Items!$X$5:$X$107,"Auto-processed")</f>
        <v>4</v>
      </c>
      <c r="I9" s="9" t="n">
        <f aca="false">G9-H9</f>
        <v>0</v>
      </c>
      <c r="J9" s="9" t="n">
        <f aca="false">COUNTIFS(Documents!$B$5:$B$83,A9,Documents!$L$5:$L$83,"Human confirm")</f>
        <v>0</v>
      </c>
      <c r="K9" s="9" t="n">
        <f aca="false">COUNTIFS(Exceptions!$B$5:$B$11,A9,Exceptions!$C$5:$C$11,"Shipment",Exceptions!$I$5:$I$11,"Yes")</f>
        <v>0</v>
      </c>
      <c r="L9" s="9" t="n">
        <f aca="false">SUMPRODUCT((Line_Items!$B$5:$B$107=A9)*(((Line_Items!$M$5:$M$107&lt;&gt;"Existing")+(Line_Items!$P$5:$P$107&lt;&gt;"Valid"))&gt;0))</f>
        <v>0</v>
      </c>
      <c r="M9" s="9" t="n">
        <f aca="false">COUNTIFS(Exceptions!$B$5:$B$11,A9,Exceptions!$C$5:$C$11,"Shipment",Exceptions!$H$5:$H$11,"Yes")</f>
        <v>0</v>
      </c>
      <c r="N9" s="9" t="str">
        <f aca="false">IF(L9+M9=0,"Clean","Requires review")</f>
        <v>Clean</v>
      </c>
      <c r="O9" s="9" t="str">
        <f aca="false">IF(I9+J9+K9=0,"Auto-processed","Human review")</f>
        <v>Auto-processed</v>
      </c>
      <c r="P9" s="9" t="str">
        <f aca="false">IF(AND(N9="Clean",O9="Auto-processed"),"Correct – straight-through",IF(AND(N9="Requires review",O9="Human review"),"Correct – caught",IF(N9="Clean","Unnecessary review","MISSED – wrongly auto-processed")))</f>
        <v>Correct – straight-through</v>
      </c>
    </row>
    <row r="10" customFormat="false" ht="15" hidden="false" customHeight="false" outlineLevel="0" collapsed="false">
      <c r="A10" s="9" t="s">
        <v>523</v>
      </c>
      <c r="B10" s="9" t="str">
        <f aca="false">Inbound_Emails!A10</f>
        <v>SYN-EM-006</v>
      </c>
      <c r="C10" s="9" t="str">
        <f aca="false">LEFT(Inbound_Emails!C10,10)</f>
        <v>2026-09-02</v>
      </c>
      <c r="D10" s="9" t="str">
        <f aca="false">Inbound_Emails!F10</f>
        <v>SUP-001</v>
      </c>
      <c r="E10" s="5" t="str">
        <f aca="false">Inbound_Emails!M10</f>
        <v>Clean</v>
      </c>
      <c r="F10" s="9" t="n">
        <f aca="false">COUNTIF(Documents!$B$5:$B$83,A10)</f>
        <v>2</v>
      </c>
      <c r="G10" s="9" t="n">
        <f aca="false">COUNTIF(Line_Items!$B$5:$B$107,A10)</f>
        <v>3</v>
      </c>
      <c r="H10" s="9" t="n">
        <f aca="false">COUNTIFS(Line_Items!$B$5:$B$107,A10,Line_Items!$X$5:$X$107,"Auto-processed")</f>
        <v>3</v>
      </c>
      <c r="I10" s="9" t="n">
        <f aca="false">G10-H10</f>
        <v>0</v>
      </c>
      <c r="J10" s="9" t="n">
        <f aca="false">COUNTIFS(Documents!$B$5:$B$83,A10,Documents!$L$5:$L$83,"Human confirm")</f>
        <v>0</v>
      </c>
      <c r="K10" s="9" t="n">
        <f aca="false">COUNTIFS(Exceptions!$B$5:$B$11,A10,Exceptions!$C$5:$C$11,"Shipment",Exceptions!$I$5:$I$11,"Yes")</f>
        <v>0</v>
      </c>
      <c r="L10" s="9" t="n">
        <f aca="false">SUMPRODUCT((Line_Items!$B$5:$B$107=A10)*(((Line_Items!$M$5:$M$107&lt;&gt;"Existing")+(Line_Items!$P$5:$P$107&lt;&gt;"Valid"))&gt;0))</f>
        <v>0</v>
      </c>
      <c r="M10" s="9" t="n">
        <f aca="false">COUNTIFS(Exceptions!$B$5:$B$11,A10,Exceptions!$C$5:$C$11,"Shipment",Exceptions!$H$5:$H$11,"Yes")</f>
        <v>0</v>
      </c>
      <c r="N10" s="9" t="str">
        <f aca="false">IF(L10+M10=0,"Clean","Requires review")</f>
        <v>Clean</v>
      </c>
      <c r="O10" s="9" t="str">
        <f aca="false">IF(I10+J10+K10=0,"Auto-processed","Human review")</f>
        <v>Auto-processed</v>
      </c>
      <c r="P10" s="9" t="str">
        <f aca="false">IF(AND(N10="Clean",O10="Auto-processed"),"Correct – straight-through",IF(AND(N10="Requires review",O10="Human review"),"Correct – caught",IF(N10="Clean","Unnecessary review","MISSED – wrongly auto-processed")))</f>
        <v>Correct – straight-through</v>
      </c>
    </row>
    <row r="11" customFormat="false" ht="15" hidden="false" customHeight="false" outlineLevel="0" collapsed="false">
      <c r="A11" s="9" t="s">
        <v>528</v>
      </c>
      <c r="B11" s="9" t="str">
        <f aca="false">Inbound_Emails!A11</f>
        <v>SYN-EM-007</v>
      </c>
      <c r="C11" s="9" t="str">
        <f aca="false">LEFT(Inbound_Emails!C11,10)</f>
        <v>2026-09-03</v>
      </c>
      <c r="D11" s="9" t="str">
        <f aca="false">Inbound_Emails!F11</f>
        <v>SUP-005</v>
      </c>
      <c r="E11" s="5" t="str">
        <f aca="false">Inbound_Emails!M11</f>
        <v>Clean (scan quality issue)</v>
      </c>
      <c r="F11" s="9" t="n">
        <f aca="false">COUNTIF(Documents!$B$5:$B$83,A11)</f>
        <v>3</v>
      </c>
      <c r="G11" s="9" t="n">
        <f aca="false">COUNTIF(Line_Items!$B$5:$B$107,A11)</f>
        <v>3</v>
      </c>
      <c r="H11" s="9" t="n">
        <f aca="false">COUNTIFS(Line_Items!$B$5:$B$107,A11,Line_Items!$X$5:$X$107,"Auto-processed")</f>
        <v>2</v>
      </c>
      <c r="I11" s="9" t="n">
        <f aca="false">G11-H11</f>
        <v>1</v>
      </c>
      <c r="J11" s="9" t="n">
        <f aca="false">COUNTIFS(Documents!$B$5:$B$83,A11,Documents!$L$5:$L$83,"Human confirm")</f>
        <v>0</v>
      </c>
      <c r="K11" s="9" t="n">
        <f aca="false">COUNTIFS(Exceptions!$B$5:$B$11,A11,Exceptions!$C$5:$C$11,"Shipment",Exceptions!$I$5:$I$11,"Yes")</f>
        <v>0</v>
      </c>
      <c r="L11" s="9" t="n">
        <f aca="false">SUMPRODUCT((Line_Items!$B$5:$B$107=A11)*(((Line_Items!$M$5:$M$107&lt;&gt;"Existing")+(Line_Items!$P$5:$P$107&lt;&gt;"Valid"))&gt;0))</f>
        <v>0</v>
      </c>
      <c r="M11" s="9" t="n">
        <f aca="false">COUNTIFS(Exceptions!$B$5:$B$11,A11,Exceptions!$C$5:$C$11,"Shipment",Exceptions!$H$5:$H$11,"Yes")</f>
        <v>0</v>
      </c>
      <c r="N11" s="9" t="str">
        <f aca="false">IF(L11+M11=0,"Clean","Requires review")</f>
        <v>Clean</v>
      </c>
      <c r="O11" s="9" t="str">
        <f aca="false">IF(I11+J11+K11=0,"Auto-processed","Human review")</f>
        <v>Human review</v>
      </c>
      <c r="P11" s="9" t="str">
        <f aca="false">IF(AND(N11="Clean",O11="Auto-processed"),"Correct – straight-through",IF(AND(N11="Requires review",O11="Human review"),"Correct – caught",IF(N11="Clean","Unnecessary review","MISSED – wrongly auto-processed")))</f>
        <v>Unnecessary review</v>
      </c>
    </row>
    <row r="12" customFormat="false" ht="15" hidden="false" customHeight="false" outlineLevel="0" collapsed="false">
      <c r="A12" s="9" t="s">
        <v>535</v>
      </c>
      <c r="B12" s="9" t="str">
        <f aca="false">Inbound_Emails!A12</f>
        <v>SYN-EM-008</v>
      </c>
      <c r="C12" s="9" t="str">
        <f aca="false">LEFT(Inbound_Emails!C12,10)</f>
        <v>2026-09-03</v>
      </c>
      <c r="D12" s="9" t="str">
        <f aca="false">Inbound_Emails!F12</f>
        <v>SUP-006</v>
      </c>
      <c r="E12" s="5" t="str">
        <f aca="false">Inbound_Emails!M12</f>
        <v>New SKU – Test Case B (Case 3)</v>
      </c>
      <c r="F12" s="9" t="n">
        <f aca="false">COUNTIF(Documents!$B$5:$B$83,A12)</f>
        <v>3</v>
      </c>
      <c r="G12" s="9" t="n">
        <f aca="false">COUNTIF(Line_Items!$B$5:$B$107,A12)</f>
        <v>4</v>
      </c>
      <c r="H12" s="9" t="n">
        <f aca="false">COUNTIFS(Line_Items!$B$5:$B$107,A12,Line_Items!$X$5:$X$107,"Auto-processed")</f>
        <v>3</v>
      </c>
      <c r="I12" s="9" t="n">
        <f aca="false">G12-H12</f>
        <v>1</v>
      </c>
      <c r="J12" s="9" t="n">
        <f aca="false">COUNTIFS(Documents!$B$5:$B$83,A12,Documents!$L$5:$L$83,"Human confirm")</f>
        <v>0</v>
      </c>
      <c r="K12" s="9" t="n">
        <f aca="false">COUNTIFS(Exceptions!$B$5:$B$11,A12,Exceptions!$C$5:$C$11,"Shipment",Exceptions!$I$5:$I$11,"Yes")</f>
        <v>0</v>
      </c>
      <c r="L12" s="9" t="n">
        <f aca="false">SUMPRODUCT((Line_Items!$B$5:$B$107=A12)*(((Line_Items!$M$5:$M$107&lt;&gt;"Existing")+(Line_Items!$P$5:$P$107&lt;&gt;"Valid"))&gt;0))</f>
        <v>1</v>
      </c>
      <c r="M12" s="9" t="n">
        <f aca="false">COUNTIFS(Exceptions!$B$5:$B$11,A12,Exceptions!$C$5:$C$11,"Shipment",Exceptions!$H$5:$H$11,"Yes")</f>
        <v>0</v>
      </c>
      <c r="N12" s="9" t="str">
        <f aca="false">IF(L12+M12=0,"Clean","Requires review")</f>
        <v>Requires review</v>
      </c>
      <c r="O12" s="9" t="str">
        <f aca="false">IF(I12+J12+K12=0,"Auto-processed","Human review")</f>
        <v>Human review</v>
      </c>
      <c r="P12" s="9" t="str">
        <f aca="false">IF(AND(N12="Clean",O12="Auto-processed"),"Correct – straight-through",IF(AND(N12="Requires review",O12="Human review"),"Correct – caught",IF(N12="Clean","Unnecessary review","MISSED – wrongly auto-processed")))</f>
        <v>Correct – caught</v>
      </c>
    </row>
    <row r="13" customFormat="false" ht="15" hidden="false" customHeight="false" outlineLevel="0" collapsed="false">
      <c r="A13" s="9" t="s">
        <v>541</v>
      </c>
      <c r="B13" s="9" t="str">
        <f aca="false">Inbound_Emails!A13</f>
        <v>SYN-EM-009</v>
      </c>
      <c r="C13" s="9" t="str">
        <f aca="false">LEFT(Inbound_Emails!C13,10)</f>
        <v>2026-09-03</v>
      </c>
      <c r="D13" s="9" t="str">
        <f aca="false">Inbound_Emails!F13</f>
        <v>SUP-001</v>
      </c>
      <c r="E13" s="5" t="str">
        <f aca="false">Inbound_Emails!M13</f>
        <v>Description variation; UOM 'Pc' (Cases 2,6)</v>
      </c>
      <c r="F13" s="9" t="n">
        <f aca="false">COUNTIF(Documents!$B$5:$B$83,A13)</f>
        <v>2</v>
      </c>
      <c r="G13" s="9" t="n">
        <f aca="false">COUNTIF(Line_Items!$B$5:$B$107,A13)</f>
        <v>3</v>
      </c>
      <c r="H13" s="9" t="n">
        <f aca="false">COUNTIFS(Line_Items!$B$5:$B$107,A13,Line_Items!$X$5:$X$107,"Auto-processed")</f>
        <v>2</v>
      </c>
      <c r="I13" s="9" t="n">
        <f aca="false">G13-H13</f>
        <v>1</v>
      </c>
      <c r="J13" s="9" t="n">
        <f aca="false">COUNTIFS(Documents!$B$5:$B$83,A13,Documents!$L$5:$L$83,"Human confirm")</f>
        <v>0</v>
      </c>
      <c r="K13" s="9" t="n">
        <f aca="false">COUNTIFS(Exceptions!$B$5:$B$11,A13,Exceptions!$C$5:$C$11,"Shipment",Exceptions!$I$5:$I$11,"Yes")</f>
        <v>0</v>
      </c>
      <c r="L13" s="9" t="n">
        <f aca="false">SUMPRODUCT((Line_Items!$B$5:$B$107=A13)*(((Line_Items!$M$5:$M$107&lt;&gt;"Existing")+(Line_Items!$P$5:$P$107&lt;&gt;"Valid"))&gt;0))</f>
        <v>0</v>
      </c>
      <c r="M13" s="9" t="n">
        <f aca="false">COUNTIFS(Exceptions!$B$5:$B$11,A13,Exceptions!$C$5:$C$11,"Shipment",Exceptions!$H$5:$H$11,"Yes")</f>
        <v>0</v>
      </c>
      <c r="N13" s="9" t="str">
        <f aca="false">IF(L13+M13=0,"Clean","Requires review")</f>
        <v>Clean</v>
      </c>
      <c r="O13" s="9" t="str">
        <f aca="false">IF(I13+J13+K13=0,"Auto-processed","Human review")</f>
        <v>Human review</v>
      </c>
      <c r="P13" s="9" t="str">
        <f aca="false">IF(AND(N13="Clean",O13="Auto-processed"),"Correct – straight-through",IF(AND(N13="Requires review",O13="Human review"),"Correct – caught",IF(N13="Clean","Unnecessary review","MISSED – wrongly auto-processed")))</f>
        <v>Unnecessary review</v>
      </c>
    </row>
    <row r="14" customFormat="false" ht="15" hidden="false" customHeight="false" outlineLevel="0" collapsed="false">
      <c r="A14" s="9" t="s">
        <v>547</v>
      </c>
      <c r="B14" s="9" t="str">
        <f aca="false">Inbound_Emails!A14</f>
        <v>SYN-EM-010</v>
      </c>
      <c r="C14" s="9" t="str">
        <f aca="false">LEFT(Inbound_Emails!C14,10)</f>
        <v>2026-09-04</v>
      </c>
      <c r="D14" s="9" t="str">
        <f aca="false">Inbound_Emails!F14</f>
        <v>SUP-002</v>
      </c>
      <c r="E14" s="5" t="str">
        <f aca="false">Inbound_Emails!M14</f>
        <v>Clean</v>
      </c>
      <c r="F14" s="9" t="n">
        <f aca="false">COUNTIF(Documents!$B$5:$B$83,A14)</f>
        <v>3</v>
      </c>
      <c r="G14" s="9" t="n">
        <f aca="false">COUNTIF(Line_Items!$B$5:$B$107,A14)</f>
        <v>4</v>
      </c>
      <c r="H14" s="9" t="n">
        <f aca="false">COUNTIFS(Line_Items!$B$5:$B$107,A14,Line_Items!$X$5:$X$107,"Auto-processed")</f>
        <v>4</v>
      </c>
      <c r="I14" s="9" t="n">
        <f aca="false">G14-H14</f>
        <v>0</v>
      </c>
      <c r="J14" s="9" t="n">
        <f aca="false">COUNTIFS(Documents!$B$5:$B$83,A14,Documents!$L$5:$L$83,"Human confirm")</f>
        <v>0</v>
      </c>
      <c r="K14" s="9" t="n">
        <f aca="false">COUNTIFS(Exceptions!$B$5:$B$11,A14,Exceptions!$C$5:$C$11,"Shipment",Exceptions!$I$5:$I$11,"Yes")</f>
        <v>0</v>
      </c>
      <c r="L14" s="9" t="n">
        <f aca="false">SUMPRODUCT((Line_Items!$B$5:$B$107=A14)*(((Line_Items!$M$5:$M$107&lt;&gt;"Existing")+(Line_Items!$P$5:$P$107&lt;&gt;"Valid"))&gt;0))</f>
        <v>0</v>
      </c>
      <c r="M14" s="9" t="n">
        <f aca="false">COUNTIFS(Exceptions!$B$5:$B$11,A14,Exceptions!$C$5:$C$11,"Shipment",Exceptions!$H$5:$H$11,"Yes")</f>
        <v>0</v>
      </c>
      <c r="N14" s="9" t="str">
        <f aca="false">IF(L14+M14=0,"Clean","Requires review")</f>
        <v>Clean</v>
      </c>
      <c r="O14" s="9" t="str">
        <f aca="false">IF(I14+J14+K14=0,"Auto-processed","Human review")</f>
        <v>Auto-processed</v>
      </c>
      <c r="P14" s="9" t="str">
        <f aca="false">IF(AND(N14="Clean",O14="Auto-processed"),"Correct – straight-through",IF(AND(N14="Requires review",O14="Human review"),"Correct – caught",IF(N14="Clean","Unnecessary review","MISSED – wrongly auto-processed")))</f>
        <v>Correct – straight-through</v>
      </c>
    </row>
    <row r="15" customFormat="false" ht="15" hidden="false" customHeight="false" outlineLevel="0" collapsed="false">
      <c r="A15" s="9" t="s">
        <v>553</v>
      </c>
      <c r="B15" s="9" t="str">
        <f aca="false">Inbound_Emails!A15</f>
        <v>SYN-EM-011</v>
      </c>
      <c r="C15" s="9" t="str">
        <f aca="false">LEFT(Inbound_Emails!C15,10)</f>
        <v>2026-09-04</v>
      </c>
      <c r="D15" s="9" t="str">
        <f aca="false">Inbound_Emails!F15</f>
        <v>SUP-001</v>
      </c>
      <c r="E15" s="5" t="str">
        <f aca="false">Inbound_Emails!M15</f>
        <v>Ambiguous SKU – Test Case C (Case 4)</v>
      </c>
      <c r="F15" s="9" t="n">
        <f aca="false">COUNTIF(Documents!$B$5:$B$83,A15)</f>
        <v>3</v>
      </c>
      <c r="G15" s="9" t="n">
        <f aca="false">COUNTIF(Line_Items!$B$5:$B$107,A15)</f>
        <v>4</v>
      </c>
      <c r="H15" s="9" t="n">
        <f aca="false">COUNTIFS(Line_Items!$B$5:$B$107,A15,Line_Items!$X$5:$X$107,"Auto-processed")</f>
        <v>3</v>
      </c>
      <c r="I15" s="9" t="n">
        <f aca="false">G15-H15</f>
        <v>1</v>
      </c>
      <c r="J15" s="9" t="n">
        <f aca="false">COUNTIFS(Documents!$B$5:$B$83,A15,Documents!$L$5:$L$83,"Human confirm")</f>
        <v>0</v>
      </c>
      <c r="K15" s="9" t="n">
        <f aca="false">COUNTIFS(Exceptions!$B$5:$B$11,A15,Exceptions!$C$5:$C$11,"Shipment",Exceptions!$I$5:$I$11,"Yes")</f>
        <v>0</v>
      </c>
      <c r="L15" s="9" t="n">
        <f aca="false">SUMPRODUCT((Line_Items!$B$5:$B$107=A15)*(((Line_Items!$M$5:$M$107&lt;&gt;"Existing")+(Line_Items!$P$5:$P$107&lt;&gt;"Valid"))&gt;0))</f>
        <v>1</v>
      </c>
      <c r="M15" s="9" t="n">
        <f aca="false">COUNTIFS(Exceptions!$B$5:$B$11,A15,Exceptions!$C$5:$C$11,"Shipment",Exceptions!$H$5:$H$11,"Yes")</f>
        <v>0</v>
      </c>
      <c r="N15" s="9" t="str">
        <f aca="false">IF(L15+M15=0,"Clean","Requires review")</f>
        <v>Requires review</v>
      </c>
      <c r="O15" s="9" t="str">
        <f aca="false">IF(I15+J15+K15=0,"Auto-processed","Human review")</f>
        <v>Human review</v>
      </c>
      <c r="P15" s="9" t="str">
        <f aca="false">IF(AND(N15="Clean",O15="Auto-processed"),"Correct – straight-through",IF(AND(N15="Requires review",O15="Human review"),"Correct – caught",IF(N15="Clean","Unnecessary review","MISSED – wrongly auto-processed")))</f>
        <v>Correct – caught</v>
      </c>
    </row>
    <row r="16" customFormat="false" ht="15" hidden="false" customHeight="false" outlineLevel="0" collapsed="false">
      <c r="A16" s="9" t="s">
        <v>558</v>
      </c>
      <c r="B16" s="9" t="str">
        <f aca="false">Inbound_Emails!A16</f>
        <v>SYN-EM-012</v>
      </c>
      <c r="C16" s="9" t="str">
        <f aca="false">LEFT(Inbound_Emails!C16,10)</f>
        <v>2026-09-04</v>
      </c>
      <c r="D16" s="9" t="str">
        <f aca="false">Inbound_Emails!F16</f>
        <v>SUP-004</v>
      </c>
      <c r="E16" s="5" t="str">
        <f aca="false">Inbound_Emails!M16</f>
        <v>Clean (scanned COO)</v>
      </c>
      <c r="F16" s="9" t="n">
        <f aca="false">COUNTIF(Documents!$B$5:$B$83,A16)</f>
        <v>3</v>
      </c>
      <c r="G16" s="9" t="n">
        <f aca="false">COUNTIF(Line_Items!$B$5:$B$107,A16)</f>
        <v>4</v>
      </c>
      <c r="H16" s="9" t="n">
        <f aca="false">COUNTIFS(Line_Items!$B$5:$B$107,A16,Line_Items!$X$5:$X$107,"Auto-processed")</f>
        <v>4</v>
      </c>
      <c r="I16" s="9" t="n">
        <f aca="false">G16-H16</f>
        <v>0</v>
      </c>
      <c r="J16" s="9" t="n">
        <f aca="false">COUNTIFS(Documents!$B$5:$B$83,A16,Documents!$L$5:$L$83,"Human confirm")</f>
        <v>1</v>
      </c>
      <c r="K16" s="9" t="n">
        <f aca="false">COUNTIFS(Exceptions!$B$5:$B$11,A16,Exceptions!$C$5:$C$11,"Shipment",Exceptions!$I$5:$I$11,"Yes")</f>
        <v>0</v>
      </c>
      <c r="L16" s="9" t="n">
        <f aca="false">SUMPRODUCT((Line_Items!$B$5:$B$107=A16)*(((Line_Items!$M$5:$M$107&lt;&gt;"Existing")+(Line_Items!$P$5:$P$107&lt;&gt;"Valid"))&gt;0))</f>
        <v>0</v>
      </c>
      <c r="M16" s="9" t="n">
        <f aca="false">COUNTIFS(Exceptions!$B$5:$B$11,A16,Exceptions!$C$5:$C$11,"Shipment",Exceptions!$H$5:$H$11,"Yes")</f>
        <v>0</v>
      </c>
      <c r="N16" s="9" t="str">
        <f aca="false">IF(L16+M16=0,"Clean","Requires review")</f>
        <v>Clean</v>
      </c>
      <c r="O16" s="9" t="str">
        <f aca="false">IF(I16+J16+K16=0,"Auto-processed","Human review")</f>
        <v>Human review</v>
      </c>
      <c r="P16" s="9" t="str">
        <f aca="false">IF(AND(N16="Clean",O16="Auto-processed"),"Correct – straight-through",IF(AND(N16="Requires review",O16="Human review"),"Correct – caught",IF(N16="Clean","Unnecessary review","MISSED – wrongly auto-processed")))</f>
        <v>Unnecessary review</v>
      </c>
    </row>
    <row r="17" customFormat="false" ht="15" hidden="false" customHeight="false" outlineLevel="0" collapsed="false">
      <c r="A17" s="9" t="s">
        <v>565</v>
      </c>
      <c r="B17" s="9" t="str">
        <f aca="false">Inbound_Emails!A17</f>
        <v>SYN-EM-013</v>
      </c>
      <c r="C17" s="9" t="str">
        <f aca="false">LEFT(Inbound_Emails!C17,10)</f>
        <v>2026-09-07</v>
      </c>
      <c r="D17" s="9" t="str">
        <f aca="false">Inbound_Emails!F17</f>
        <v>SUP-003</v>
      </c>
      <c r="E17" s="5" t="str">
        <f aca="false">Inbound_Emails!M17</f>
        <v>Missing quantity – Test Case D (Case 5)</v>
      </c>
      <c r="F17" s="9" t="n">
        <f aca="false">COUNTIF(Documents!$B$5:$B$83,A17)</f>
        <v>2</v>
      </c>
      <c r="G17" s="9" t="n">
        <f aca="false">COUNTIF(Line_Items!$B$5:$B$107,A17)</f>
        <v>3</v>
      </c>
      <c r="H17" s="9" t="n">
        <f aca="false">COUNTIFS(Line_Items!$B$5:$B$107,A17,Line_Items!$X$5:$X$107,"Auto-processed")</f>
        <v>2</v>
      </c>
      <c r="I17" s="9" t="n">
        <f aca="false">G17-H17</f>
        <v>1</v>
      </c>
      <c r="J17" s="9" t="n">
        <f aca="false">COUNTIFS(Documents!$B$5:$B$83,A17,Documents!$L$5:$L$83,"Human confirm")</f>
        <v>0</v>
      </c>
      <c r="K17" s="9" t="n">
        <f aca="false">COUNTIFS(Exceptions!$B$5:$B$11,A17,Exceptions!$C$5:$C$11,"Shipment",Exceptions!$I$5:$I$11,"Yes")</f>
        <v>0</v>
      </c>
      <c r="L17" s="9" t="n">
        <f aca="false">SUMPRODUCT((Line_Items!$B$5:$B$107=A17)*(((Line_Items!$M$5:$M$107&lt;&gt;"Existing")+(Line_Items!$P$5:$P$107&lt;&gt;"Valid"))&gt;0))</f>
        <v>1</v>
      </c>
      <c r="M17" s="9" t="n">
        <f aca="false">COUNTIFS(Exceptions!$B$5:$B$11,A17,Exceptions!$C$5:$C$11,"Shipment",Exceptions!$H$5:$H$11,"Yes")</f>
        <v>0</v>
      </c>
      <c r="N17" s="9" t="str">
        <f aca="false">IF(L17+M17=0,"Clean","Requires review")</f>
        <v>Requires review</v>
      </c>
      <c r="O17" s="9" t="str">
        <f aca="false">IF(I17+J17+K17=0,"Auto-processed","Human review")</f>
        <v>Human review</v>
      </c>
      <c r="P17" s="9" t="str">
        <f aca="false">IF(AND(N17="Clean",O17="Auto-processed"),"Correct – straight-through",IF(AND(N17="Requires review",O17="Human review"),"Correct – caught",IF(N17="Clean","Unnecessary review","MISSED – wrongly auto-processed")))</f>
        <v>Correct – caught</v>
      </c>
    </row>
    <row r="18" customFormat="false" ht="15" hidden="false" customHeight="false" outlineLevel="0" collapsed="false">
      <c r="A18" s="9" t="s">
        <v>571</v>
      </c>
      <c r="B18" s="9" t="str">
        <f aca="false">Inbound_Emails!A18</f>
        <v>SYN-EM-014</v>
      </c>
      <c r="C18" s="9" t="str">
        <f aca="false">LEFT(Inbound_Emails!C18,10)</f>
        <v>2026-09-07</v>
      </c>
      <c r="D18" s="9" t="str">
        <f aca="false">Inbound_Emails!F18</f>
        <v>SUP-003</v>
      </c>
      <c r="E18" s="5" t="str">
        <f aca="false">Inbound_Emails!M18</f>
        <v>SKU typo resolvable (Case 7); UOM 'pcs'</v>
      </c>
      <c r="F18" s="9" t="n">
        <f aca="false">COUNTIF(Documents!$B$5:$B$83,A18)</f>
        <v>2</v>
      </c>
      <c r="G18" s="9" t="n">
        <f aca="false">COUNTIF(Line_Items!$B$5:$B$107,A18)</f>
        <v>3</v>
      </c>
      <c r="H18" s="9" t="n">
        <f aca="false">COUNTIFS(Line_Items!$B$5:$B$107,A18,Line_Items!$X$5:$X$107,"Auto-processed")</f>
        <v>3</v>
      </c>
      <c r="I18" s="9" t="n">
        <f aca="false">G18-H18</f>
        <v>0</v>
      </c>
      <c r="J18" s="9" t="n">
        <f aca="false">COUNTIFS(Documents!$B$5:$B$83,A18,Documents!$L$5:$L$83,"Human confirm")</f>
        <v>0</v>
      </c>
      <c r="K18" s="9" t="n">
        <f aca="false">COUNTIFS(Exceptions!$B$5:$B$11,A18,Exceptions!$C$5:$C$11,"Shipment",Exceptions!$I$5:$I$11,"Yes")</f>
        <v>0</v>
      </c>
      <c r="L18" s="9" t="n">
        <f aca="false">SUMPRODUCT((Line_Items!$B$5:$B$107=A18)*(((Line_Items!$M$5:$M$107&lt;&gt;"Existing")+(Line_Items!$P$5:$P$107&lt;&gt;"Valid"))&gt;0))</f>
        <v>0</v>
      </c>
      <c r="M18" s="9" t="n">
        <f aca="false">COUNTIFS(Exceptions!$B$5:$B$11,A18,Exceptions!$C$5:$C$11,"Shipment",Exceptions!$H$5:$H$11,"Yes")</f>
        <v>0</v>
      </c>
      <c r="N18" s="9" t="str">
        <f aca="false">IF(L18+M18=0,"Clean","Requires review")</f>
        <v>Clean</v>
      </c>
      <c r="O18" s="9" t="str">
        <f aca="false">IF(I18+J18+K18=0,"Auto-processed","Human review")</f>
        <v>Auto-processed</v>
      </c>
      <c r="P18" s="9" t="str">
        <f aca="false">IF(AND(N18="Clean",O18="Auto-processed"),"Correct – straight-through",IF(AND(N18="Requires review",O18="Human review"),"Correct – caught",IF(N18="Clean","Unnecessary review","MISSED – wrongly auto-processed")))</f>
        <v>Correct – straight-through</v>
      </c>
    </row>
    <row r="19" customFormat="false" ht="15" hidden="false" customHeight="false" outlineLevel="0" collapsed="false">
      <c r="A19" s="9" t="s">
        <v>577</v>
      </c>
      <c r="B19" s="9" t="str">
        <f aca="false">Inbound_Emails!A19</f>
        <v>SYN-EM-015</v>
      </c>
      <c r="C19" s="9" t="str">
        <f aca="false">LEFT(Inbound_Emails!C19,10)</f>
        <v>2026-09-07</v>
      </c>
      <c r="D19" s="9" t="str">
        <f aca="false">Inbound_Emails!F19</f>
        <v>SUP-008</v>
      </c>
      <c r="E19" s="5" t="str">
        <f aca="false">Inbound_Emails!M19</f>
        <v>Clean (irrelevant attachment in email)</v>
      </c>
      <c r="F19" s="9" t="n">
        <f aca="false">COUNTIF(Documents!$B$5:$B$83,A19)</f>
        <v>3</v>
      </c>
      <c r="G19" s="9" t="n">
        <f aca="false">COUNTIF(Line_Items!$B$5:$B$107,A19)</f>
        <v>3</v>
      </c>
      <c r="H19" s="9" t="n">
        <f aca="false">COUNTIFS(Line_Items!$B$5:$B$107,A19,Line_Items!$X$5:$X$107,"Auto-processed")</f>
        <v>3</v>
      </c>
      <c r="I19" s="9" t="n">
        <f aca="false">G19-H19</f>
        <v>0</v>
      </c>
      <c r="J19" s="9" t="n">
        <f aca="false">COUNTIFS(Documents!$B$5:$B$83,A19,Documents!$L$5:$L$83,"Human confirm")</f>
        <v>1</v>
      </c>
      <c r="K19" s="9" t="n">
        <f aca="false">COUNTIFS(Exceptions!$B$5:$B$11,A19,Exceptions!$C$5:$C$11,"Shipment",Exceptions!$I$5:$I$11,"Yes")</f>
        <v>0</v>
      </c>
      <c r="L19" s="9" t="n">
        <f aca="false">SUMPRODUCT((Line_Items!$B$5:$B$107=A19)*(((Line_Items!$M$5:$M$107&lt;&gt;"Existing")+(Line_Items!$P$5:$P$107&lt;&gt;"Valid"))&gt;0))</f>
        <v>0</v>
      </c>
      <c r="M19" s="9" t="n">
        <f aca="false">COUNTIFS(Exceptions!$B$5:$B$11,A19,Exceptions!$C$5:$C$11,"Shipment",Exceptions!$H$5:$H$11,"Yes")</f>
        <v>0</v>
      </c>
      <c r="N19" s="9" t="str">
        <f aca="false">IF(L19+M19=0,"Clean","Requires review")</f>
        <v>Clean</v>
      </c>
      <c r="O19" s="9" t="str">
        <f aca="false">IF(I19+J19+K19=0,"Auto-processed","Human review")</f>
        <v>Human review</v>
      </c>
      <c r="P19" s="9" t="str">
        <f aca="false">IF(AND(N19="Clean",O19="Auto-processed"),"Correct – straight-through",IF(AND(N19="Requires review",O19="Human review"),"Correct – caught",IF(N19="Clean","Unnecessary review","MISSED – wrongly auto-processed")))</f>
        <v>Unnecessary review</v>
      </c>
    </row>
    <row r="20" customFormat="false" ht="15" hidden="false" customHeight="false" outlineLevel="0" collapsed="false">
      <c r="A20" s="9" t="s">
        <v>584</v>
      </c>
      <c r="B20" s="9" t="str">
        <f aca="false">Inbound_Emails!A20</f>
        <v>SYN-EM-016</v>
      </c>
      <c r="C20" s="9" t="str">
        <f aca="false">LEFT(Inbound_Emails!C20,10)</f>
        <v>2026-09-08</v>
      </c>
      <c r="D20" s="9" t="str">
        <f aca="false">Inbound_Emails!F20</f>
        <v>SUP-002</v>
      </c>
      <c r="E20" s="5" t="str">
        <f aca="false">Inbound_Emails!M20</f>
        <v>Missing Commercial Invoice (Case 8)</v>
      </c>
      <c r="F20" s="9" t="n">
        <f aca="false">COUNTIF(Documents!$B$5:$B$83,A20)</f>
        <v>1</v>
      </c>
      <c r="G20" s="9" t="n">
        <f aca="false">COUNTIF(Line_Items!$B$5:$B$107,A20)</f>
        <v>3</v>
      </c>
      <c r="H20" s="9" t="n">
        <f aca="false">COUNTIFS(Line_Items!$B$5:$B$107,A20,Line_Items!$X$5:$X$107,"Auto-processed")</f>
        <v>3</v>
      </c>
      <c r="I20" s="9" t="n">
        <f aca="false">G20-H20</f>
        <v>0</v>
      </c>
      <c r="J20" s="9" t="n">
        <f aca="false">COUNTIFS(Documents!$B$5:$B$83,A20,Documents!$L$5:$L$83,"Human confirm")</f>
        <v>0</v>
      </c>
      <c r="K20" s="9" t="n">
        <f aca="false">COUNTIFS(Exceptions!$B$5:$B$11,A20,Exceptions!$C$5:$C$11,"Shipment",Exceptions!$I$5:$I$11,"Yes")</f>
        <v>1</v>
      </c>
      <c r="L20" s="9" t="n">
        <f aca="false">SUMPRODUCT((Line_Items!$B$5:$B$107=A20)*(((Line_Items!$M$5:$M$107&lt;&gt;"Existing")+(Line_Items!$P$5:$P$107&lt;&gt;"Valid"))&gt;0))</f>
        <v>0</v>
      </c>
      <c r="M20" s="9" t="n">
        <f aca="false">COUNTIFS(Exceptions!$B$5:$B$11,A20,Exceptions!$C$5:$C$11,"Shipment",Exceptions!$H$5:$H$11,"Yes")</f>
        <v>1</v>
      </c>
      <c r="N20" s="9" t="str">
        <f aca="false">IF(L20+M20=0,"Clean","Requires review")</f>
        <v>Requires review</v>
      </c>
      <c r="O20" s="9" t="str">
        <f aca="false">IF(I20+J20+K20=0,"Auto-processed","Human review")</f>
        <v>Human review</v>
      </c>
      <c r="P20" s="9" t="str">
        <f aca="false">IF(AND(N20="Clean",O20="Auto-processed"),"Correct – straight-through",IF(AND(N20="Requires review",O20="Human review"),"Correct – caught",IF(N20="Clean","Unnecessary review","MISSED – wrongly auto-processed")))</f>
        <v>Correct – caught</v>
      </c>
    </row>
    <row r="21" customFormat="false" ht="15" hidden="false" customHeight="false" outlineLevel="0" collapsed="false">
      <c r="A21" s="9" t="s">
        <v>590</v>
      </c>
      <c r="B21" s="9" t="str">
        <f aca="false">Inbound_Emails!A21</f>
        <v>SYN-EM-017</v>
      </c>
      <c r="C21" s="9" t="str">
        <f aca="false">LEFT(Inbound_Emails!C21,10)</f>
        <v>2026-09-08</v>
      </c>
      <c r="D21" s="9" t="str">
        <f aca="false">Inbound_Emails!F21</f>
        <v>SUP-002</v>
      </c>
      <c r="E21" s="5" t="str">
        <f aca="false">Inbound_Emails!M21</f>
        <v>New SKU (Case 3)</v>
      </c>
      <c r="F21" s="9" t="n">
        <f aca="false">COUNTIF(Documents!$B$5:$B$83,A21)</f>
        <v>3</v>
      </c>
      <c r="G21" s="9" t="n">
        <f aca="false">COUNTIF(Line_Items!$B$5:$B$107,A21)</f>
        <v>4</v>
      </c>
      <c r="H21" s="9" t="n">
        <f aca="false">COUNTIFS(Line_Items!$B$5:$B$107,A21,Line_Items!$X$5:$X$107,"Auto-processed")</f>
        <v>3</v>
      </c>
      <c r="I21" s="9" t="n">
        <f aca="false">G21-H21</f>
        <v>1</v>
      </c>
      <c r="J21" s="9" t="n">
        <f aca="false">COUNTIFS(Documents!$B$5:$B$83,A21,Documents!$L$5:$L$83,"Human confirm")</f>
        <v>0</v>
      </c>
      <c r="K21" s="9" t="n">
        <f aca="false">COUNTIFS(Exceptions!$B$5:$B$11,A21,Exceptions!$C$5:$C$11,"Shipment",Exceptions!$I$5:$I$11,"Yes")</f>
        <v>0</v>
      </c>
      <c r="L21" s="9" t="n">
        <f aca="false">SUMPRODUCT((Line_Items!$B$5:$B$107=A21)*(((Line_Items!$M$5:$M$107&lt;&gt;"Existing")+(Line_Items!$P$5:$P$107&lt;&gt;"Valid"))&gt;0))</f>
        <v>1</v>
      </c>
      <c r="M21" s="9" t="n">
        <f aca="false">COUNTIFS(Exceptions!$B$5:$B$11,A21,Exceptions!$C$5:$C$11,"Shipment",Exceptions!$H$5:$H$11,"Yes")</f>
        <v>0</v>
      </c>
      <c r="N21" s="9" t="str">
        <f aca="false">IF(L21+M21=0,"Clean","Requires review")</f>
        <v>Requires review</v>
      </c>
      <c r="O21" s="9" t="str">
        <f aca="false">IF(I21+J21+K21=0,"Auto-processed","Human review")</f>
        <v>Human review</v>
      </c>
      <c r="P21" s="9" t="str">
        <f aca="false">IF(AND(N21="Clean",O21="Auto-processed"),"Correct – straight-through",IF(AND(N21="Requires review",O21="Human review"),"Correct – caught",IF(N21="Clean","Unnecessary review","MISSED – wrongly auto-processed")))</f>
        <v>Correct – caught</v>
      </c>
    </row>
    <row r="22" customFormat="false" ht="15" hidden="false" customHeight="false" outlineLevel="0" collapsed="false">
      <c r="A22" s="9" t="s">
        <v>596</v>
      </c>
      <c r="B22" s="9" t="str">
        <f aca="false">Inbound_Emails!A22</f>
        <v>SYN-EM-018</v>
      </c>
      <c r="C22" s="9" t="str">
        <f aca="false">LEFT(Inbound_Emails!C22,10)</f>
        <v>2026-09-08</v>
      </c>
      <c r="D22" s="9" t="str">
        <f aca="false">Inbound_Emails!F22</f>
        <v>SUP-005</v>
      </c>
      <c r="E22" s="5" t="str">
        <f aca="false">Inbound_Emails!M22</f>
        <v>Country-of-origin conflict (Case 10)</v>
      </c>
      <c r="F22" s="9" t="n">
        <f aca="false">COUNTIF(Documents!$B$5:$B$83,A22)</f>
        <v>3</v>
      </c>
      <c r="G22" s="9" t="n">
        <f aca="false">COUNTIF(Line_Items!$B$5:$B$107,A22)</f>
        <v>3</v>
      </c>
      <c r="H22" s="9" t="n">
        <f aca="false">COUNTIFS(Line_Items!$B$5:$B$107,A22,Line_Items!$X$5:$X$107,"Auto-processed")</f>
        <v>2</v>
      </c>
      <c r="I22" s="9" t="n">
        <f aca="false">G22-H22</f>
        <v>1</v>
      </c>
      <c r="J22" s="9" t="n">
        <f aca="false">COUNTIFS(Documents!$B$5:$B$83,A22,Documents!$L$5:$L$83,"Human confirm")</f>
        <v>0</v>
      </c>
      <c r="K22" s="9" t="n">
        <f aca="false">COUNTIFS(Exceptions!$B$5:$B$11,A22,Exceptions!$C$5:$C$11,"Shipment",Exceptions!$I$5:$I$11,"Yes")</f>
        <v>0</v>
      </c>
      <c r="L22" s="9" t="n">
        <f aca="false">SUMPRODUCT((Line_Items!$B$5:$B$107=A22)*(((Line_Items!$M$5:$M$107&lt;&gt;"Existing")+(Line_Items!$P$5:$P$107&lt;&gt;"Valid"))&gt;0))</f>
        <v>1</v>
      </c>
      <c r="M22" s="9" t="n">
        <f aca="false">COUNTIFS(Exceptions!$B$5:$B$11,A22,Exceptions!$C$5:$C$11,"Shipment",Exceptions!$H$5:$H$11,"Yes")</f>
        <v>0</v>
      </c>
      <c r="N22" s="9" t="str">
        <f aca="false">IF(L22+M22=0,"Clean","Requires review")</f>
        <v>Requires review</v>
      </c>
      <c r="O22" s="9" t="str">
        <f aca="false">IF(I22+J22+K22=0,"Auto-processed","Human review")</f>
        <v>Human review</v>
      </c>
      <c r="P22" s="9" t="str">
        <f aca="false">IF(AND(N22="Clean",O22="Auto-processed"),"Correct – straight-through",IF(AND(N22="Requires review",O22="Human review"),"Correct – caught",IF(N22="Clean","Unnecessary review","MISSED – wrongly auto-processed")))</f>
        <v>Correct – caught</v>
      </c>
    </row>
    <row r="23" customFormat="false" ht="15" hidden="false" customHeight="false" outlineLevel="0" collapsed="false">
      <c r="A23" s="9" t="s">
        <v>602</v>
      </c>
      <c r="B23" s="9" t="str">
        <f aca="false">Inbound_Emails!A23</f>
        <v>SYN-EM-019</v>
      </c>
      <c r="C23" s="9" t="str">
        <f aca="false">LEFT(Inbound_Emails!C23,10)</f>
        <v>2026-09-09</v>
      </c>
      <c r="D23" s="9" t="str">
        <f aca="false">Inbound_Emails!F23</f>
        <v>SUP-003</v>
      </c>
      <c r="E23" s="5" t="str">
        <f aca="false">Inbound_Emails!M23</f>
        <v>Ambiguous SKU typo + vague description (Cases 4,7)</v>
      </c>
      <c r="F23" s="9" t="n">
        <f aca="false">COUNTIF(Documents!$B$5:$B$83,A23)</f>
        <v>2</v>
      </c>
      <c r="G23" s="9" t="n">
        <f aca="false">COUNTIF(Line_Items!$B$5:$B$107,A23)</f>
        <v>4</v>
      </c>
      <c r="H23" s="9" t="n">
        <f aca="false">COUNTIFS(Line_Items!$B$5:$B$107,A23,Line_Items!$X$5:$X$107,"Auto-processed")</f>
        <v>3</v>
      </c>
      <c r="I23" s="9" t="n">
        <f aca="false">G23-H23</f>
        <v>1</v>
      </c>
      <c r="J23" s="9" t="n">
        <f aca="false">COUNTIFS(Documents!$B$5:$B$83,A23,Documents!$L$5:$L$83,"Human confirm")</f>
        <v>0</v>
      </c>
      <c r="K23" s="9" t="n">
        <f aca="false">COUNTIFS(Exceptions!$B$5:$B$11,A23,Exceptions!$C$5:$C$11,"Shipment",Exceptions!$I$5:$I$11,"Yes")</f>
        <v>0</v>
      </c>
      <c r="L23" s="9" t="n">
        <f aca="false">SUMPRODUCT((Line_Items!$B$5:$B$107=A23)*(((Line_Items!$M$5:$M$107&lt;&gt;"Existing")+(Line_Items!$P$5:$P$107&lt;&gt;"Valid"))&gt;0))</f>
        <v>1</v>
      </c>
      <c r="M23" s="9" t="n">
        <f aca="false">COUNTIFS(Exceptions!$B$5:$B$11,A23,Exceptions!$C$5:$C$11,"Shipment",Exceptions!$H$5:$H$11,"Yes")</f>
        <v>0</v>
      </c>
      <c r="N23" s="9" t="str">
        <f aca="false">IF(L23+M23=0,"Clean","Requires review")</f>
        <v>Requires review</v>
      </c>
      <c r="O23" s="9" t="str">
        <f aca="false">IF(I23+J23+K23=0,"Auto-processed","Human review")</f>
        <v>Human review</v>
      </c>
      <c r="P23" s="9" t="str">
        <f aca="false">IF(AND(N23="Clean",O23="Auto-processed"),"Correct – straight-through",IF(AND(N23="Requires review",O23="Human review"),"Correct – caught",IF(N23="Clean","Unnecessary review","MISSED – wrongly auto-processed")))</f>
        <v>Correct – caught</v>
      </c>
    </row>
    <row r="24" customFormat="false" ht="15" hidden="false" customHeight="false" outlineLevel="0" collapsed="false">
      <c r="A24" s="9" t="s">
        <v>608</v>
      </c>
      <c r="B24" s="9" t="str">
        <f aca="false">Inbound_Emails!A24</f>
        <v>SYN-EM-020</v>
      </c>
      <c r="C24" s="9" t="str">
        <f aca="false">LEFT(Inbound_Emails!C24,10)</f>
        <v>2026-09-09</v>
      </c>
      <c r="D24" s="9" t="str">
        <f aca="false">Inbound_Emails!F24</f>
        <v>SUP-004</v>
      </c>
      <c r="E24" s="5" t="str">
        <f aca="false">Inbound_Emails!M24</f>
        <v>Duplicate line item (Case 9)</v>
      </c>
      <c r="F24" s="9" t="n">
        <f aca="false">COUNTIF(Documents!$B$5:$B$83,A24)</f>
        <v>3</v>
      </c>
      <c r="G24" s="9" t="n">
        <f aca="false">COUNTIF(Line_Items!$B$5:$B$107,A24)</f>
        <v>5</v>
      </c>
      <c r="H24" s="9" t="n">
        <f aca="false">COUNTIFS(Line_Items!$B$5:$B$107,A24,Line_Items!$X$5:$X$107,"Auto-processed")</f>
        <v>4</v>
      </c>
      <c r="I24" s="9" t="n">
        <f aca="false">G24-H24</f>
        <v>1</v>
      </c>
      <c r="J24" s="9" t="n">
        <f aca="false">COUNTIFS(Documents!$B$5:$B$83,A24,Documents!$L$5:$L$83,"Human confirm")</f>
        <v>0</v>
      </c>
      <c r="K24" s="9" t="n">
        <f aca="false">COUNTIFS(Exceptions!$B$5:$B$11,A24,Exceptions!$C$5:$C$11,"Shipment",Exceptions!$I$5:$I$11,"Yes")</f>
        <v>0</v>
      </c>
      <c r="L24" s="9" t="n">
        <f aca="false">SUMPRODUCT((Line_Items!$B$5:$B$107=A24)*(((Line_Items!$M$5:$M$107&lt;&gt;"Existing")+(Line_Items!$P$5:$P$107&lt;&gt;"Valid"))&gt;0))</f>
        <v>1</v>
      </c>
      <c r="M24" s="9" t="n">
        <f aca="false">COUNTIFS(Exceptions!$B$5:$B$11,A24,Exceptions!$C$5:$C$11,"Shipment",Exceptions!$H$5:$H$11,"Yes")</f>
        <v>0</v>
      </c>
      <c r="N24" s="9" t="str">
        <f aca="false">IF(L24+M24=0,"Clean","Requires review")</f>
        <v>Requires review</v>
      </c>
      <c r="O24" s="9" t="str">
        <f aca="false">IF(I24+J24+K24=0,"Auto-processed","Human review")</f>
        <v>Human review</v>
      </c>
      <c r="P24" s="9" t="str">
        <f aca="false">IF(AND(N24="Clean",O24="Auto-processed"),"Correct – straight-through",IF(AND(N24="Requires review",O24="Human review"),"Correct – caught",IF(N24="Clean","Unnecessary review","MISSED – wrongly auto-processed")))</f>
        <v>Correct – caught</v>
      </c>
    </row>
    <row r="25" customFormat="false" ht="15" hidden="false" customHeight="false" outlineLevel="0" collapsed="false">
      <c r="A25" s="9" t="s">
        <v>614</v>
      </c>
      <c r="B25" s="9" t="str">
        <f aca="false">Inbound_Emails!A25</f>
        <v>SYN-EM-021</v>
      </c>
      <c r="C25" s="9" t="str">
        <f aca="false">LEFT(Inbound_Emails!C25,10)</f>
        <v>2026-09-09</v>
      </c>
      <c r="D25" s="9" t="str">
        <f aca="false">Inbound_Emails!F25</f>
        <v>SUP-006</v>
      </c>
      <c r="E25" s="5" t="str">
        <f aca="false">Inbound_Emails!M25</f>
        <v>Ambiguous cable SKU (Case 4)</v>
      </c>
      <c r="F25" s="9" t="n">
        <f aca="false">COUNTIF(Documents!$B$5:$B$83,A25)</f>
        <v>3</v>
      </c>
      <c r="G25" s="9" t="n">
        <f aca="false">COUNTIF(Line_Items!$B$5:$B$107,A25)</f>
        <v>4</v>
      </c>
      <c r="H25" s="9" t="n">
        <f aca="false">COUNTIFS(Line_Items!$B$5:$B$107,A25,Line_Items!$X$5:$X$107,"Auto-processed")</f>
        <v>4</v>
      </c>
      <c r="I25" s="9" t="n">
        <f aca="false">G25-H25</f>
        <v>0</v>
      </c>
      <c r="J25" s="9" t="n">
        <f aca="false">COUNTIFS(Documents!$B$5:$B$83,A25,Documents!$L$5:$L$83,"Human confirm")</f>
        <v>0</v>
      </c>
      <c r="K25" s="9" t="n">
        <f aca="false">COUNTIFS(Exceptions!$B$5:$B$11,A25,Exceptions!$C$5:$C$11,"Shipment",Exceptions!$I$5:$I$11,"Yes")</f>
        <v>0</v>
      </c>
      <c r="L25" s="9" t="n">
        <f aca="false">SUMPRODUCT((Line_Items!$B$5:$B$107=A25)*(((Line_Items!$M$5:$M$107&lt;&gt;"Existing")+(Line_Items!$P$5:$P$107&lt;&gt;"Valid"))&gt;0))</f>
        <v>1</v>
      </c>
      <c r="M25" s="9" t="n">
        <f aca="false">COUNTIFS(Exceptions!$B$5:$B$11,A25,Exceptions!$C$5:$C$11,"Shipment",Exceptions!$H$5:$H$11,"Yes")</f>
        <v>0</v>
      </c>
      <c r="N25" s="9" t="str">
        <f aca="false">IF(L25+M25=0,"Clean","Requires review")</f>
        <v>Requires review</v>
      </c>
      <c r="O25" s="9" t="str">
        <f aca="false">IF(I25+J25+K25=0,"Auto-processed","Human review")</f>
        <v>Auto-processed</v>
      </c>
      <c r="P25" s="9" t="str">
        <f aca="false">IF(AND(N25="Clean",O25="Auto-processed"),"Correct – straight-through",IF(AND(N25="Requires review",O25="Human review"),"Correct – caught",IF(N25="Clean","Unnecessary review","MISSED – wrongly auto-processed")))</f>
        <v>MISSED – wrongly auto-processed</v>
      </c>
    </row>
    <row r="26" customFormat="false" ht="15" hidden="false" customHeight="false" outlineLevel="0" collapsed="false">
      <c r="A26" s="9" t="s">
        <v>619</v>
      </c>
      <c r="B26" s="9" t="str">
        <f aca="false">Inbound_Emails!A26</f>
        <v>SYN-EM-022</v>
      </c>
      <c r="C26" s="9" t="str">
        <f aca="false">LEFT(Inbound_Emails!C26,10)</f>
        <v>2026-09-10</v>
      </c>
      <c r="D26" s="9" t="str">
        <f aca="false">Inbound_Emails!F26</f>
        <v>SUP-001</v>
      </c>
      <c r="E26" s="5" t="str">
        <f aca="false">Inbound_Emails!M26</f>
        <v>New SKU resembling existing (Case 3)</v>
      </c>
      <c r="F26" s="9" t="n">
        <f aca="false">COUNTIF(Documents!$B$5:$B$83,A26)</f>
        <v>3</v>
      </c>
      <c r="G26" s="9" t="n">
        <f aca="false">COUNTIF(Line_Items!$B$5:$B$107,A26)</f>
        <v>3</v>
      </c>
      <c r="H26" s="9" t="n">
        <f aca="false">COUNTIFS(Line_Items!$B$5:$B$107,A26,Line_Items!$X$5:$X$107,"Auto-processed")</f>
        <v>2</v>
      </c>
      <c r="I26" s="9" t="n">
        <f aca="false">G26-H26</f>
        <v>1</v>
      </c>
      <c r="J26" s="9" t="n">
        <f aca="false">COUNTIFS(Documents!$B$5:$B$83,A26,Documents!$L$5:$L$83,"Human confirm")</f>
        <v>0</v>
      </c>
      <c r="K26" s="9" t="n">
        <f aca="false">COUNTIFS(Exceptions!$B$5:$B$11,A26,Exceptions!$C$5:$C$11,"Shipment",Exceptions!$I$5:$I$11,"Yes")</f>
        <v>0</v>
      </c>
      <c r="L26" s="9" t="n">
        <f aca="false">SUMPRODUCT((Line_Items!$B$5:$B$107=A26)*(((Line_Items!$M$5:$M$107&lt;&gt;"Existing")+(Line_Items!$P$5:$P$107&lt;&gt;"Valid"))&gt;0))</f>
        <v>1</v>
      </c>
      <c r="M26" s="9" t="n">
        <f aca="false">COUNTIFS(Exceptions!$B$5:$B$11,A26,Exceptions!$C$5:$C$11,"Shipment",Exceptions!$H$5:$H$11,"Yes")</f>
        <v>0</v>
      </c>
      <c r="N26" s="9" t="str">
        <f aca="false">IF(L26+M26=0,"Clean","Requires review")</f>
        <v>Requires review</v>
      </c>
      <c r="O26" s="9" t="str">
        <f aca="false">IF(I26+J26+K26=0,"Auto-processed","Human review")</f>
        <v>Human review</v>
      </c>
      <c r="P26" s="9" t="str">
        <f aca="false">IF(AND(N26="Clean",O26="Auto-processed"),"Correct – straight-through",IF(AND(N26="Requires review",O26="Human review"),"Correct – caught",IF(N26="Clean","Unnecessary review","MISSED – wrongly auto-processed")))</f>
        <v>Correct – caught</v>
      </c>
    </row>
    <row r="27" customFormat="false" ht="15" hidden="false" customHeight="false" outlineLevel="0" collapsed="false">
      <c r="A27" s="9" t="s">
        <v>625</v>
      </c>
      <c r="B27" s="9" t="str">
        <f aca="false">Inbound_Emails!A27</f>
        <v>SYN-EM-023</v>
      </c>
      <c r="C27" s="9" t="str">
        <f aca="false">LEFT(Inbound_Emails!C27,10)</f>
        <v>2026-09-10</v>
      </c>
      <c r="D27" s="9" t="str">
        <f aca="false">Inbound_Emails!F27</f>
        <v>SUP-007</v>
      </c>
      <c r="E27" s="5" t="str">
        <f aca="false">Inbound_Emails!M27</f>
        <v>Quantity conflict PL vs CI – Test Case E (Case 10)</v>
      </c>
      <c r="F27" s="9" t="n">
        <f aca="false">COUNTIF(Documents!$B$5:$B$83,A27)</f>
        <v>3</v>
      </c>
      <c r="G27" s="9" t="n">
        <f aca="false">COUNTIF(Line_Items!$B$5:$B$107,A27)</f>
        <v>3</v>
      </c>
      <c r="H27" s="9" t="n">
        <f aca="false">COUNTIFS(Line_Items!$B$5:$B$107,A27,Line_Items!$X$5:$X$107,"Auto-processed")</f>
        <v>2</v>
      </c>
      <c r="I27" s="9" t="n">
        <f aca="false">G27-H27</f>
        <v>1</v>
      </c>
      <c r="J27" s="9" t="n">
        <f aca="false">COUNTIFS(Documents!$B$5:$B$83,A27,Documents!$L$5:$L$83,"Human confirm")</f>
        <v>0</v>
      </c>
      <c r="K27" s="9" t="n">
        <f aca="false">COUNTIFS(Exceptions!$B$5:$B$11,A27,Exceptions!$C$5:$C$11,"Shipment",Exceptions!$I$5:$I$11,"Yes")</f>
        <v>0</v>
      </c>
      <c r="L27" s="9" t="n">
        <f aca="false">SUMPRODUCT((Line_Items!$B$5:$B$107=A27)*(((Line_Items!$M$5:$M$107&lt;&gt;"Existing")+(Line_Items!$P$5:$P$107&lt;&gt;"Valid"))&gt;0))</f>
        <v>1</v>
      </c>
      <c r="M27" s="9" t="n">
        <f aca="false">COUNTIFS(Exceptions!$B$5:$B$11,A27,Exceptions!$C$5:$C$11,"Shipment",Exceptions!$H$5:$H$11,"Yes")</f>
        <v>0</v>
      </c>
      <c r="N27" s="9" t="str">
        <f aca="false">IF(L27+M27=0,"Clean","Requires review")</f>
        <v>Requires review</v>
      </c>
      <c r="O27" s="9" t="str">
        <f aca="false">IF(I27+J27+K27=0,"Auto-processed","Human review")</f>
        <v>Human review</v>
      </c>
      <c r="P27" s="9" t="str">
        <f aca="false">IF(AND(N27="Clean",O27="Auto-processed"),"Correct – straight-through",IF(AND(N27="Requires review",O27="Human review"),"Correct – caught",IF(N27="Clean","Unnecessary review","MISSED – wrongly auto-processed")))</f>
        <v>Correct – caught</v>
      </c>
    </row>
    <row r="28" customFormat="false" ht="15" hidden="false" customHeight="false" outlineLevel="0" collapsed="false">
      <c r="A28" s="9" t="s">
        <v>631</v>
      </c>
      <c r="B28" s="9" t="str">
        <f aca="false">Inbound_Emails!A28</f>
        <v>SYN-EM-024</v>
      </c>
      <c r="C28" s="9" t="str">
        <f aca="false">LEFT(Inbound_Emails!C28,10)</f>
        <v>2026-09-10</v>
      </c>
      <c r="D28" s="9" t="str">
        <f aca="false">Inbound_Emails!F28</f>
        <v>SUP-007</v>
      </c>
      <c r="E28" s="5" t="str">
        <f aca="false">Inbound_Emails!M28</f>
        <v>New SKU; UOM 'Nos'/'Ctns' (Cases 3,6)</v>
      </c>
      <c r="F28" s="9" t="n">
        <f aca="false">COUNTIF(Documents!$B$5:$B$83,A28)</f>
        <v>2</v>
      </c>
      <c r="G28" s="9" t="n">
        <f aca="false">COUNTIF(Line_Items!$B$5:$B$107,A28)</f>
        <v>4</v>
      </c>
      <c r="H28" s="9" t="n">
        <f aca="false">COUNTIFS(Line_Items!$B$5:$B$107,A28,Line_Items!$X$5:$X$107,"Auto-processed")</f>
        <v>3</v>
      </c>
      <c r="I28" s="9" t="n">
        <f aca="false">G28-H28</f>
        <v>1</v>
      </c>
      <c r="J28" s="9" t="n">
        <f aca="false">COUNTIFS(Documents!$B$5:$B$83,A28,Documents!$L$5:$L$83,"Human confirm")</f>
        <v>0</v>
      </c>
      <c r="K28" s="9" t="n">
        <f aca="false">COUNTIFS(Exceptions!$B$5:$B$11,A28,Exceptions!$C$5:$C$11,"Shipment",Exceptions!$I$5:$I$11,"Yes")</f>
        <v>0</v>
      </c>
      <c r="L28" s="9" t="n">
        <f aca="false">SUMPRODUCT((Line_Items!$B$5:$B$107=A28)*(((Line_Items!$M$5:$M$107&lt;&gt;"Existing")+(Line_Items!$P$5:$P$107&lt;&gt;"Valid"))&gt;0))</f>
        <v>1</v>
      </c>
      <c r="M28" s="9" t="n">
        <f aca="false">COUNTIFS(Exceptions!$B$5:$B$11,A28,Exceptions!$C$5:$C$11,"Shipment",Exceptions!$H$5:$H$11,"Yes")</f>
        <v>0</v>
      </c>
      <c r="N28" s="9" t="str">
        <f aca="false">IF(L28+M28=0,"Clean","Requires review")</f>
        <v>Requires review</v>
      </c>
      <c r="O28" s="9" t="str">
        <f aca="false">IF(I28+J28+K28=0,"Auto-processed","Human review")</f>
        <v>Human review</v>
      </c>
      <c r="P28" s="9" t="str">
        <f aca="false">IF(AND(N28="Clean",O28="Auto-processed"),"Correct – straight-through",IF(AND(N28="Requires review",O28="Human review"),"Correct – caught",IF(N28="Clean","Unnecessary review","MISSED – wrongly auto-processed")))</f>
        <v>Correct – caught</v>
      </c>
    </row>
    <row r="29" customFormat="false" ht="15" hidden="false" customHeight="false" outlineLevel="0" collapsed="false">
      <c r="A29" s="9" t="s">
        <v>637</v>
      </c>
      <c r="B29" s="9" t="str">
        <f aca="false">Inbound_Emails!A29</f>
        <v>SYN-EM-025</v>
      </c>
      <c r="C29" s="9" t="str">
        <f aca="false">LEFT(Inbound_Emails!C29,10)</f>
        <v>2026-09-11</v>
      </c>
      <c r="D29" s="9" t="str">
        <f aca="false">Inbound_Emails!F29</f>
        <v>SUP-004</v>
      </c>
      <c r="E29" s="5" t="str">
        <f aca="false">Inbound_Emails!M29</f>
        <v>Gross weight mismatch PL vs CI (Case 10)</v>
      </c>
      <c r="F29" s="9" t="n">
        <f aca="false">COUNTIF(Documents!$B$5:$B$83,A29)</f>
        <v>3</v>
      </c>
      <c r="G29" s="9" t="n">
        <f aca="false">COUNTIF(Line_Items!$B$5:$B$107,A29)</f>
        <v>3</v>
      </c>
      <c r="H29" s="9" t="n">
        <f aca="false">COUNTIFS(Line_Items!$B$5:$B$107,A29,Line_Items!$X$5:$X$107,"Auto-processed")</f>
        <v>3</v>
      </c>
      <c r="I29" s="9" t="n">
        <f aca="false">G29-H29</f>
        <v>0</v>
      </c>
      <c r="J29" s="9" t="n">
        <f aca="false">COUNTIFS(Documents!$B$5:$B$83,A29,Documents!$L$5:$L$83,"Human confirm")</f>
        <v>0</v>
      </c>
      <c r="K29" s="9" t="n">
        <f aca="false">COUNTIFS(Exceptions!$B$5:$B$11,A29,Exceptions!$C$5:$C$11,"Shipment",Exceptions!$I$5:$I$11,"Yes")</f>
        <v>0</v>
      </c>
      <c r="L29" s="9" t="n">
        <f aca="false">SUMPRODUCT((Line_Items!$B$5:$B$107=A29)*(((Line_Items!$M$5:$M$107&lt;&gt;"Existing")+(Line_Items!$P$5:$P$107&lt;&gt;"Valid"))&gt;0))</f>
        <v>0</v>
      </c>
      <c r="M29" s="9" t="n">
        <f aca="false">COUNTIFS(Exceptions!$B$5:$B$11,A29,Exceptions!$C$5:$C$11,"Shipment",Exceptions!$H$5:$H$11,"Yes")</f>
        <v>1</v>
      </c>
      <c r="N29" s="9" t="str">
        <f aca="false">IF(L29+M29=0,"Clean","Requires review")</f>
        <v>Requires review</v>
      </c>
      <c r="O29" s="9" t="str">
        <f aca="false">IF(I29+J29+K29=0,"Auto-processed","Human review")</f>
        <v>Auto-processed</v>
      </c>
      <c r="P29" s="9" t="str">
        <f aca="false">IF(AND(N29="Clean",O29="Auto-processed"),"Correct – straight-through",IF(AND(N29="Requires review",O29="Human review"),"Correct – caught",IF(N29="Clean","Unnecessary review","MISSED – wrongly auto-processed")))</f>
        <v>MISSED – wrongly auto-processed</v>
      </c>
    </row>
    <row r="30" customFormat="false" ht="15" hidden="false" customHeight="false" outlineLevel="0" collapsed="false">
      <c r="A30" s="9" t="s">
        <v>643</v>
      </c>
      <c r="B30" s="9" t="str">
        <f aca="false">Inbound_Emails!A30</f>
        <v>SYN-EM-026</v>
      </c>
      <c r="C30" s="9" t="str">
        <f aca="false">LEFT(Inbound_Emails!C30,10)</f>
        <v>2026-09-11</v>
      </c>
      <c r="D30" s="9" t="str">
        <f aca="false">Inbound_Emails!F30</f>
        <v>SUP-008</v>
      </c>
      <c r="E30" s="5" t="str">
        <f aca="false">Inbound_Emails!M30</f>
        <v>Clean</v>
      </c>
      <c r="F30" s="9" t="n">
        <f aca="false">COUNTIF(Documents!$B$5:$B$83,A30)</f>
        <v>3</v>
      </c>
      <c r="G30" s="9" t="n">
        <f aca="false">COUNTIF(Line_Items!$B$5:$B$107,A30)</f>
        <v>2</v>
      </c>
      <c r="H30" s="9" t="n">
        <f aca="false">COUNTIFS(Line_Items!$B$5:$B$107,A30,Line_Items!$X$5:$X$107,"Auto-processed")</f>
        <v>2</v>
      </c>
      <c r="I30" s="9" t="n">
        <f aca="false">G30-H30</f>
        <v>0</v>
      </c>
      <c r="J30" s="9" t="n">
        <f aca="false">COUNTIFS(Documents!$B$5:$B$83,A30,Documents!$L$5:$L$83,"Human confirm")</f>
        <v>0</v>
      </c>
      <c r="K30" s="9" t="n">
        <f aca="false">COUNTIFS(Exceptions!$B$5:$B$11,A30,Exceptions!$C$5:$C$11,"Shipment",Exceptions!$I$5:$I$11,"Yes")</f>
        <v>0</v>
      </c>
      <c r="L30" s="9" t="n">
        <f aca="false">SUMPRODUCT((Line_Items!$B$5:$B$107=A30)*(((Line_Items!$M$5:$M$107&lt;&gt;"Existing")+(Line_Items!$P$5:$P$107&lt;&gt;"Valid"))&gt;0))</f>
        <v>0</v>
      </c>
      <c r="M30" s="9" t="n">
        <f aca="false">COUNTIFS(Exceptions!$B$5:$B$11,A30,Exceptions!$C$5:$C$11,"Shipment",Exceptions!$H$5:$H$11,"Yes")</f>
        <v>0</v>
      </c>
      <c r="N30" s="9" t="str">
        <f aca="false">IF(L30+M30=0,"Clean","Requires review")</f>
        <v>Clean</v>
      </c>
      <c r="O30" s="9" t="str">
        <f aca="false">IF(I30+J30+K30=0,"Auto-processed","Human review")</f>
        <v>Auto-processed</v>
      </c>
      <c r="P30" s="9" t="str">
        <f aca="false">IF(AND(N30="Clean",O30="Auto-processed"),"Correct – straight-through",IF(AND(N30="Requires review",O30="Human review"),"Correct – caught",IF(N30="Clean","Unnecessary review","MISSED – wrongly auto-processed")))</f>
        <v>Correct – straight-through</v>
      </c>
    </row>
    <row r="31" customFormat="false" ht="15" hidden="false" customHeight="false" outlineLevel="0" collapsed="false">
      <c r="A31" s="9" t="s">
        <v>648</v>
      </c>
      <c r="B31" s="9" t="str">
        <f aca="false">Inbound_Emails!A31</f>
        <v>SYN-EM-027</v>
      </c>
      <c r="C31" s="9" t="str">
        <f aca="false">LEFT(Inbound_Emails!C31,10)</f>
        <v>2026-09-11</v>
      </c>
      <c r="D31" s="9" t="str">
        <f aca="false">Inbound_Emails!F31</f>
        <v>SUP-003</v>
      </c>
      <c r="E31" s="5" t="str">
        <f aca="false">Inbound_Emails!M31</f>
        <v>Clean</v>
      </c>
      <c r="F31" s="9" t="n">
        <f aca="false">COUNTIF(Documents!$B$5:$B$83,A31)</f>
        <v>2</v>
      </c>
      <c r="G31" s="9" t="n">
        <f aca="false">COUNTIF(Line_Items!$B$5:$B$107,A31)</f>
        <v>4</v>
      </c>
      <c r="H31" s="9" t="n">
        <f aca="false">COUNTIFS(Line_Items!$B$5:$B$107,A31,Line_Items!$X$5:$X$107,"Auto-processed")</f>
        <v>4</v>
      </c>
      <c r="I31" s="9" t="n">
        <f aca="false">G31-H31</f>
        <v>0</v>
      </c>
      <c r="J31" s="9" t="n">
        <f aca="false">COUNTIFS(Documents!$B$5:$B$83,A31,Documents!$L$5:$L$83,"Human confirm")</f>
        <v>0</v>
      </c>
      <c r="K31" s="9" t="n">
        <f aca="false">COUNTIFS(Exceptions!$B$5:$B$11,A31,Exceptions!$C$5:$C$11,"Shipment",Exceptions!$I$5:$I$11,"Yes")</f>
        <v>0</v>
      </c>
      <c r="L31" s="9" t="n">
        <f aca="false">SUMPRODUCT((Line_Items!$B$5:$B$107=A31)*(((Line_Items!$M$5:$M$107&lt;&gt;"Existing")+(Line_Items!$P$5:$P$107&lt;&gt;"Valid"))&gt;0))</f>
        <v>0</v>
      </c>
      <c r="M31" s="9" t="n">
        <f aca="false">COUNTIFS(Exceptions!$B$5:$B$11,A31,Exceptions!$C$5:$C$11,"Shipment",Exceptions!$H$5:$H$11,"Yes")</f>
        <v>0</v>
      </c>
      <c r="N31" s="9" t="str">
        <f aca="false">IF(L31+M31=0,"Clean","Requires review")</f>
        <v>Clean</v>
      </c>
      <c r="O31" s="9" t="str">
        <f aca="false">IF(I31+J31+K31=0,"Auto-processed","Human review")</f>
        <v>Auto-processed</v>
      </c>
      <c r="P31" s="9" t="str">
        <f aca="false">IF(AND(N31="Clean",O31="Auto-processed"),"Correct – straight-through",IF(AND(N31="Requires review",O31="Human review"),"Correct – caught",IF(N31="Clean","Unnecessary review","MISSED – wrongly auto-processed")))</f>
        <v>Correct – straight-through</v>
      </c>
    </row>
    <row r="32" customFormat="false" ht="15" hidden="false" customHeight="false" outlineLevel="0" collapsed="false">
      <c r="A32" s="9" t="s">
        <v>652</v>
      </c>
      <c r="B32" s="9" t="str">
        <f aca="false">Inbound_Emails!A32</f>
        <v>SYN-EM-028</v>
      </c>
      <c r="C32" s="9" t="str">
        <f aca="false">LEFT(Inbound_Emails!C32,10)</f>
        <v>2026-09-14</v>
      </c>
      <c r="D32" s="9" t="str">
        <f aca="false">Inbound_Emails!F32</f>
        <v>SUP-005</v>
      </c>
      <c r="E32" s="5" t="str">
        <f aca="false">Inbound_Emails!M32</f>
        <v>Clean</v>
      </c>
      <c r="F32" s="9" t="n">
        <f aca="false">COUNTIF(Documents!$B$5:$B$83,A32)</f>
        <v>3</v>
      </c>
      <c r="G32" s="9" t="n">
        <f aca="false">COUNTIF(Line_Items!$B$5:$B$107,A32)</f>
        <v>3</v>
      </c>
      <c r="H32" s="9" t="n">
        <f aca="false">COUNTIFS(Line_Items!$B$5:$B$107,A32,Line_Items!$X$5:$X$107,"Auto-processed")</f>
        <v>3</v>
      </c>
      <c r="I32" s="9" t="n">
        <f aca="false">G32-H32</f>
        <v>0</v>
      </c>
      <c r="J32" s="9" t="n">
        <f aca="false">COUNTIFS(Documents!$B$5:$B$83,A32,Documents!$L$5:$L$83,"Human confirm")</f>
        <v>0</v>
      </c>
      <c r="K32" s="9" t="n">
        <f aca="false">COUNTIFS(Exceptions!$B$5:$B$11,A32,Exceptions!$C$5:$C$11,"Shipment",Exceptions!$I$5:$I$11,"Yes")</f>
        <v>0</v>
      </c>
      <c r="L32" s="9" t="n">
        <f aca="false">SUMPRODUCT((Line_Items!$B$5:$B$107=A32)*(((Line_Items!$M$5:$M$107&lt;&gt;"Existing")+(Line_Items!$P$5:$P$107&lt;&gt;"Valid"))&gt;0))</f>
        <v>0</v>
      </c>
      <c r="M32" s="9" t="n">
        <f aca="false">COUNTIFS(Exceptions!$B$5:$B$11,A32,Exceptions!$C$5:$C$11,"Shipment",Exceptions!$H$5:$H$11,"Yes")</f>
        <v>0</v>
      </c>
      <c r="N32" s="9" t="str">
        <f aca="false">IF(L32+M32=0,"Clean","Requires review")</f>
        <v>Clean</v>
      </c>
      <c r="O32" s="9" t="str">
        <f aca="false">IF(I32+J32+K32=0,"Auto-processed","Human review")</f>
        <v>Auto-processed</v>
      </c>
      <c r="P32" s="9" t="str">
        <f aca="false">IF(AND(N32="Clean",O32="Auto-processed"),"Correct – straight-through",IF(AND(N32="Requires review",O32="Human review"),"Correct – caught",IF(N32="Clean","Unnecessary review","MISSED – wrongly auto-processed")))</f>
        <v>Correct – straight-through</v>
      </c>
    </row>
    <row r="33" customFormat="false" ht="15" hidden="false" customHeight="false" outlineLevel="0" collapsed="false">
      <c r="A33" s="9" t="s">
        <v>657</v>
      </c>
      <c r="B33" s="9" t="str">
        <f aca="false">Inbound_Emails!A33</f>
        <v>SYN-EM-029</v>
      </c>
      <c r="C33" s="9" t="str">
        <f aca="false">LEFT(Inbound_Emails!C33,10)</f>
        <v>2026-09-14</v>
      </c>
      <c r="D33" s="9" t="str">
        <f aca="false">Inbound_Emails!F33</f>
        <v>SUP-006</v>
      </c>
      <c r="E33" s="5" t="str">
        <f aca="false">Inbound_Emails!M33</f>
        <v>Clean</v>
      </c>
      <c r="F33" s="9" t="n">
        <f aca="false">COUNTIF(Documents!$B$5:$B$83,A33)</f>
        <v>2</v>
      </c>
      <c r="G33" s="9" t="n">
        <f aca="false">COUNTIF(Line_Items!$B$5:$B$107,A33)</f>
        <v>3</v>
      </c>
      <c r="H33" s="9" t="n">
        <f aca="false">COUNTIFS(Line_Items!$B$5:$B$107,A33,Line_Items!$X$5:$X$107,"Auto-processed")</f>
        <v>3</v>
      </c>
      <c r="I33" s="9" t="n">
        <f aca="false">G33-H33</f>
        <v>0</v>
      </c>
      <c r="J33" s="9" t="n">
        <f aca="false">COUNTIFS(Documents!$B$5:$B$83,A33,Documents!$L$5:$L$83,"Human confirm")</f>
        <v>0</v>
      </c>
      <c r="K33" s="9" t="n">
        <f aca="false">COUNTIFS(Exceptions!$B$5:$B$11,A33,Exceptions!$C$5:$C$11,"Shipment",Exceptions!$I$5:$I$11,"Yes")</f>
        <v>0</v>
      </c>
      <c r="L33" s="9" t="n">
        <f aca="false">SUMPRODUCT((Line_Items!$B$5:$B$107=A33)*(((Line_Items!$M$5:$M$107&lt;&gt;"Existing")+(Line_Items!$P$5:$P$107&lt;&gt;"Valid"))&gt;0))</f>
        <v>0</v>
      </c>
      <c r="M33" s="9" t="n">
        <f aca="false">COUNTIFS(Exceptions!$B$5:$B$11,A33,Exceptions!$C$5:$C$11,"Shipment",Exceptions!$H$5:$H$11,"Yes")</f>
        <v>0</v>
      </c>
      <c r="N33" s="9" t="str">
        <f aca="false">IF(L33+M33=0,"Clean","Requires review")</f>
        <v>Clean</v>
      </c>
      <c r="O33" s="9" t="str">
        <f aca="false">IF(I33+J33+K33=0,"Auto-processed","Human review")</f>
        <v>Auto-processed</v>
      </c>
      <c r="P33" s="9" t="str">
        <f aca="false">IF(AND(N33="Clean",O33="Auto-processed"),"Correct – straight-through",IF(AND(N33="Requires review",O33="Human review"),"Correct – caught",IF(N33="Clean","Unnecessary review","MISSED – wrongly auto-processed")))</f>
        <v>Correct – straight-through</v>
      </c>
    </row>
    <row r="34" customFormat="false" ht="15" hidden="false" customHeight="false" outlineLevel="0" collapsed="false">
      <c r="A34" s="9" t="s">
        <v>662</v>
      </c>
      <c r="B34" s="9" t="str">
        <f aca="false">Inbound_Emails!A34</f>
        <v>SYN-EM-030</v>
      </c>
      <c r="C34" s="9" t="str">
        <f aca="false">LEFT(Inbound_Emails!C34,10)</f>
        <v>2026-09-14</v>
      </c>
      <c r="D34" s="9" t="str">
        <f aca="false">Inbound_Emails!F34</f>
        <v>SUP-007</v>
      </c>
      <c r="E34" s="5" t="str">
        <f aca="false">Inbound_Emails!M34</f>
        <v>Clean</v>
      </c>
      <c r="F34" s="9" t="n">
        <f aca="false">COUNTIF(Documents!$B$5:$B$83,A34)</f>
        <v>3</v>
      </c>
      <c r="G34" s="9" t="n">
        <f aca="false">COUNTIF(Line_Items!$B$5:$B$107,A34)</f>
        <v>4</v>
      </c>
      <c r="H34" s="9" t="n">
        <f aca="false">COUNTIFS(Line_Items!$B$5:$B$107,A34,Line_Items!$X$5:$X$107,"Auto-processed")</f>
        <v>4</v>
      </c>
      <c r="I34" s="9" t="n">
        <f aca="false">G34-H34</f>
        <v>0</v>
      </c>
      <c r="J34" s="9" t="n">
        <f aca="false">COUNTIFS(Documents!$B$5:$B$83,A34,Documents!$L$5:$L$83,"Human confirm")</f>
        <v>0</v>
      </c>
      <c r="K34" s="9" t="n">
        <f aca="false">COUNTIFS(Exceptions!$B$5:$B$11,A34,Exceptions!$C$5:$C$11,"Shipment",Exceptions!$I$5:$I$11,"Yes")</f>
        <v>0</v>
      </c>
      <c r="L34" s="9" t="n">
        <f aca="false">SUMPRODUCT((Line_Items!$B$5:$B$107=A34)*(((Line_Items!$M$5:$M$107&lt;&gt;"Existing")+(Line_Items!$P$5:$P$107&lt;&gt;"Valid"))&gt;0))</f>
        <v>0</v>
      </c>
      <c r="M34" s="9" t="n">
        <f aca="false">COUNTIFS(Exceptions!$B$5:$B$11,A34,Exceptions!$C$5:$C$11,"Shipment",Exceptions!$H$5:$H$11,"Yes")</f>
        <v>0</v>
      </c>
      <c r="N34" s="9" t="str">
        <f aca="false">IF(L34+M34=0,"Clean","Requires review")</f>
        <v>Clean</v>
      </c>
      <c r="O34" s="9" t="str">
        <f aca="false">IF(I34+J34+K34=0,"Auto-processed","Human review")</f>
        <v>Auto-processed</v>
      </c>
      <c r="P34" s="9" t="str">
        <f aca="false">IF(AND(N34="Clean",O34="Auto-processed"),"Correct – straight-through",IF(AND(N34="Requires review",O34="Human review"),"Correct – caught",IF(N34="Clean","Unnecessary review","MISSED – wrongly auto-processed")))</f>
        <v>Correct – straight-through</v>
      </c>
    </row>
  </sheetData>
  <mergeCells count="1">
    <mergeCell ref="A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3" min="3" style="0" width="14"/>
    <col collapsed="false" customWidth="true" hidden="false" outlineLevel="0" max="4" min="4" style="0" width="70"/>
  </cols>
  <sheetData>
    <row r="1" customFormat="false" ht="15" hidden="false" customHeight="false" outlineLevel="0" collapsed="false">
      <c r="A1" s="1" t="s">
        <v>0</v>
      </c>
      <c r="B1" s="1"/>
      <c r="C1" s="1"/>
      <c r="D1" s="1"/>
      <c r="E1" s="1"/>
      <c r="F1" s="1"/>
      <c r="G1" s="1"/>
      <c r="H1" s="1"/>
    </row>
    <row r="2" customFormat="false" ht="17.35" hidden="false" customHeight="false" outlineLevel="0" collapsed="false">
      <c r="A2" s="2" t="s">
        <v>1093</v>
      </c>
    </row>
    <row r="3" customFormat="false" ht="15" hidden="false" customHeight="false" outlineLevel="0" collapsed="false">
      <c r="A3" s="3" t="s">
        <v>1094</v>
      </c>
    </row>
    <row r="4" customFormat="false" ht="31.5" hidden="false" customHeight="true" outlineLevel="0" collapsed="false">
      <c r="A4" s="6" t="s">
        <v>1095</v>
      </c>
      <c r="B4" s="6" t="s">
        <v>1096</v>
      </c>
      <c r="C4" s="6" t="s">
        <v>1097</v>
      </c>
      <c r="D4" s="6" t="s">
        <v>1098</v>
      </c>
    </row>
    <row r="5" customFormat="false" ht="27.75" hidden="false" customHeight="true" outlineLevel="0" collapsed="false">
      <c r="A5" s="9" t="n">
        <v>1</v>
      </c>
      <c r="B5" s="5" t="s">
        <v>1099</v>
      </c>
      <c r="C5" s="30" t="n">
        <v>0.8</v>
      </c>
      <c r="D5" s="5" t="s">
        <v>1100</v>
      </c>
    </row>
    <row r="6" customFormat="false" ht="27.75" hidden="false" customHeight="true" outlineLevel="0" collapsed="false">
      <c r="A6" s="9" t="n">
        <v>2</v>
      </c>
      <c r="B6" s="5" t="s">
        <v>1101</v>
      </c>
      <c r="C6" s="30" t="n">
        <v>0.9</v>
      </c>
      <c r="D6" s="5" t="s">
        <v>1102</v>
      </c>
    </row>
    <row r="7" customFormat="false" ht="27.75" hidden="false" customHeight="true" outlineLevel="0" collapsed="false">
      <c r="A7" s="9" t="n">
        <v>3</v>
      </c>
      <c r="B7" s="5" t="s">
        <v>1103</v>
      </c>
      <c r="C7" s="9" t="s">
        <v>1104</v>
      </c>
      <c r="D7" s="5" t="s">
        <v>1105</v>
      </c>
    </row>
    <row r="8" customFormat="false" ht="27.75" hidden="false" customHeight="true" outlineLevel="0" collapsed="false">
      <c r="A8" s="9" t="n">
        <v>4</v>
      </c>
      <c r="B8" s="5" t="s">
        <v>1106</v>
      </c>
      <c r="C8" s="9" t="s">
        <v>1107</v>
      </c>
      <c r="D8" s="5" t="s">
        <v>1108</v>
      </c>
    </row>
    <row r="9" customFormat="false" ht="27.75" hidden="false" customHeight="true" outlineLevel="0" collapsed="false">
      <c r="A9" s="9" t="n">
        <v>5</v>
      </c>
      <c r="B9" s="5" t="s">
        <v>1109</v>
      </c>
      <c r="C9" s="9" t="s">
        <v>1110</v>
      </c>
      <c r="D9" s="5" t="s">
        <v>1111</v>
      </c>
    </row>
    <row r="10" customFormat="false" ht="27.75" hidden="false" customHeight="true" outlineLevel="0" collapsed="false">
      <c r="A10" s="9" t="n">
        <v>6</v>
      </c>
      <c r="B10" s="5" t="s">
        <v>1112</v>
      </c>
      <c r="C10" s="9" t="s">
        <v>1113</v>
      </c>
      <c r="D10" s="5" t="s">
        <v>1114</v>
      </c>
    </row>
    <row r="11" customFormat="false" ht="27.75" hidden="false" customHeight="true" outlineLevel="0" collapsed="false">
      <c r="A11" s="9" t="n">
        <v>7</v>
      </c>
      <c r="B11" s="5" t="s">
        <v>1115</v>
      </c>
      <c r="C11" s="9" t="s">
        <v>1116</v>
      </c>
      <c r="D11" s="5" t="s">
        <v>1117</v>
      </c>
    </row>
    <row r="12" customFormat="false" ht="27.75" hidden="false" customHeight="true" outlineLevel="0" collapsed="false">
      <c r="A12" s="9" t="n">
        <v>8</v>
      </c>
      <c r="B12" s="5" t="s">
        <v>1118</v>
      </c>
      <c r="C12" s="9" t="s">
        <v>1119</v>
      </c>
      <c r="D12" s="5" t="s">
        <v>1120</v>
      </c>
    </row>
    <row r="13" customFormat="false" ht="27.75" hidden="false" customHeight="true" outlineLevel="0" collapsed="false">
      <c r="A13" s="9" t="n">
        <v>9</v>
      </c>
      <c r="B13" s="5" t="s">
        <v>1121</v>
      </c>
      <c r="C13" s="30" t="n">
        <v>0.1</v>
      </c>
      <c r="D13" s="5" t="s">
        <v>1122</v>
      </c>
    </row>
    <row r="14" customFormat="false" ht="27.75" hidden="false" customHeight="true" outlineLevel="0" collapsed="false">
      <c r="A14" s="9" t="n">
        <v>10</v>
      </c>
      <c r="B14" s="5" t="s">
        <v>1123</v>
      </c>
      <c r="C14" s="9" t="s">
        <v>1124</v>
      </c>
      <c r="D14" s="5" t="s">
        <v>1125</v>
      </c>
    </row>
    <row r="15" customFormat="false" ht="27.75" hidden="false" customHeight="true" outlineLevel="0" collapsed="false">
      <c r="A15" s="9" t="n">
        <v>11</v>
      </c>
      <c r="B15" s="5" t="s">
        <v>1126</v>
      </c>
      <c r="C15" s="9" t="s">
        <v>1127</v>
      </c>
      <c r="D15" s="5" t="s">
        <v>1128</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6"/>
    <col collapsed="false" customWidth="true" hidden="false" outlineLevel="0" max="3" min="3" style="0" width="14"/>
    <col collapsed="false" customWidth="true" hidden="false" outlineLevel="0" max="4" min="4" style="0" width="22"/>
    <col collapsed="false" customWidth="true" hidden="false" outlineLevel="0" max="5" min="5" style="0" width="14"/>
  </cols>
  <sheetData>
    <row r="1" customFormat="false" ht="15" hidden="false" customHeight="false" outlineLevel="0" collapsed="false">
      <c r="A1" s="1" t="s">
        <v>0</v>
      </c>
      <c r="B1" s="1"/>
      <c r="C1" s="1"/>
      <c r="D1" s="1"/>
      <c r="E1" s="1"/>
      <c r="F1" s="1"/>
      <c r="G1" s="1"/>
      <c r="H1" s="1"/>
    </row>
    <row r="2" customFormat="false" ht="17.35" hidden="false" customHeight="false" outlineLevel="0" collapsed="false">
      <c r="A2" s="2" t="s">
        <v>1129</v>
      </c>
    </row>
    <row r="3" customFormat="false" ht="15" hidden="false" customHeight="false" outlineLevel="0" collapsed="false">
      <c r="A3" s="3" t="s">
        <v>1130</v>
      </c>
    </row>
    <row r="4" customFormat="false" ht="31.5" hidden="false" customHeight="true" outlineLevel="0" collapsed="false">
      <c r="A4" s="6" t="s">
        <v>212</v>
      </c>
      <c r="B4" s="6" t="s">
        <v>213</v>
      </c>
      <c r="C4" s="6" t="s">
        <v>1131</v>
      </c>
      <c r="D4" s="6" t="s">
        <v>1132</v>
      </c>
      <c r="E4" s="6" t="s">
        <v>1133</v>
      </c>
    </row>
    <row r="5" customFormat="false" ht="15" hidden="false" customHeight="false" outlineLevel="0" collapsed="false">
      <c r="A5" s="9" t="s">
        <v>223</v>
      </c>
      <c r="B5" s="9" t="s">
        <v>1134</v>
      </c>
      <c r="C5" s="9" t="s">
        <v>222</v>
      </c>
      <c r="D5" s="9" t="s">
        <v>219</v>
      </c>
      <c r="E5" s="9" t="n">
        <f aca="false">COUNTIF(Item_Master!$G$5:$G$84,A5)</f>
        <v>10</v>
      </c>
    </row>
    <row r="6" customFormat="false" ht="15" hidden="false" customHeight="false" outlineLevel="0" collapsed="false">
      <c r="A6" s="9" t="s">
        <v>323</v>
      </c>
      <c r="B6" s="9" t="s">
        <v>1135</v>
      </c>
      <c r="C6" s="9" t="s">
        <v>222</v>
      </c>
      <c r="D6" s="9" t="s">
        <v>321</v>
      </c>
      <c r="E6" s="9" t="n">
        <f aca="false">COUNTIF(Item_Master!$G$5:$G$84,A6)</f>
        <v>12</v>
      </c>
    </row>
    <row r="7" customFormat="false" ht="15" hidden="false" customHeight="false" outlineLevel="0" collapsed="false">
      <c r="A7" s="9" t="s">
        <v>375</v>
      </c>
      <c r="B7" s="9" t="s">
        <v>1136</v>
      </c>
      <c r="C7" s="9" t="s">
        <v>374</v>
      </c>
      <c r="D7" s="9" t="s">
        <v>373</v>
      </c>
      <c r="E7" s="9" t="n">
        <f aca="false">COUNTIF(Item_Master!$G$5:$G$84,A7)</f>
        <v>16</v>
      </c>
    </row>
    <row r="8" customFormat="false" ht="15" hidden="false" customHeight="false" outlineLevel="0" collapsed="false">
      <c r="A8" s="9" t="s">
        <v>288</v>
      </c>
      <c r="B8" s="9" t="s">
        <v>1137</v>
      </c>
      <c r="C8" s="9" t="s">
        <v>287</v>
      </c>
      <c r="D8" s="9" t="s">
        <v>274</v>
      </c>
      <c r="E8" s="9" t="n">
        <f aca="false">COUNTIF(Item_Master!$G$5:$G$84,A8)</f>
        <v>12</v>
      </c>
    </row>
    <row r="9" customFormat="false" ht="15" hidden="false" customHeight="false" outlineLevel="0" collapsed="false">
      <c r="A9" s="9" t="s">
        <v>424</v>
      </c>
      <c r="B9" s="9" t="s">
        <v>1138</v>
      </c>
      <c r="C9" s="9" t="s">
        <v>423</v>
      </c>
      <c r="D9" s="9" t="s">
        <v>421</v>
      </c>
      <c r="E9" s="9" t="n">
        <f aca="false">COUNTIF(Item_Master!$G$5:$G$84,A9)</f>
        <v>6</v>
      </c>
    </row>
    <row r="10" customFormat="false" ht="15" hidden="false" customHeight="false" outlineLevel="0" collapsed="false">
      <c r="A10" s="9" t="s">
        <v>252</v>
      </c>
      <c r="B10" s="9" t="s">
        <v>1139</v>
      </c>
      <c r="C10" s="9" t="s">
        <v>251</v>
      </c>
      <c r="D10" s="9" t="s">
        <v>1140</v>
      </c>
      <c r="E10" s="9" t="n">
        <f aca="false">COUNTIF(Item_Master!$G$5:$G$84,A10)</f>
        <v>10</v>
      </c>
    </row>
    <row r="11" customFormat="false" ht="15" hidden="false" customHeight="false" outlineLevel="0" collapsed="false">
      <c r="A11" s="9" t="s">
        <v>441</v>
      </c>
      <c r="B11" s="9" t="s">
        <v>1141</v>
      </c>
      <c r="C11" s="9" t="s">
        <v>445</v>
      </c>
      <c r="D11" s="9" t="s">
        <v>421</v>
      </c>
      <c r="E11" s="9" t="n">
        <f aca="false">COUNTIF(Item_Master!$G$5:$G$84,A11)</f>
        <v>10</v>
      </c>
    </row>
    <row r="12" customFormat="false" ht="15" hidden="false" customHeight="false" outlineLevel="0" collapsed="false">
      <c r="A12" s="9" t="s">
        <v>332</v>
      </c>
      <c r="B12" s="9" t="s">
        <v>1142</v>
      </c>
      <c r="C12" s="9" t="s">
        <v>331</v>
      </c>
      <c r="D12" s="9" t="s">
        <v>1143</v>
      </c>
      <c r="E12" s="9" t="n">
        <f aca="false">COUNTIF(Item_Master!$G$5:$G$84,A12)</f>
        <v>4</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4" min="3" style="0" width="40"/>
    <col collapsed="false" customWidth="true" hidden="false" outlineLevel="0" max="5" min="5" style="0" width="26"/>
  </cols>
  <sheetData>
    <row r="1" customFormat="false" ht="15" hidden="false" customHeight="false" outlineLevel="0" collapsed="false">
      <c r="A1" s="1" t="s">
        <v>0</v>
      </c>
      <c r="B1" s="1"/>
      <c r="C1" s="1"/>
      <c r="D1" s="1"/>
      <c r="E1" s="1"/>
      <c r="F1" s="1"/>
      <c r="G1" s="1"/>
      <c r="H1" s="1"/>
    </row>
    <row r="2" customFormat="false" ht="17.35" hidden="false" customHeight="false" outlineLevel="0" collapsed="false">
      <c r="A2" s="2" t="s">
        <v>1144</v>
      </c>
    </row>
    <row r="3" customFormat="false" ht="15" hidden="false" customHeight="false" outlineLevel="0" collapsed="false">
      <c r="A3" s="3" t="s">
        <v>1145</v>
      </c>
    </row>
    <row r="4" customFormat="false" ht="31.5" hidden="false" customHeight="true" outlineLevel="0" collapsed="false">
      <c r="A4" s="6" t="s">
        <v>1146</v>
      </c>
      <c r="B4" s="6" t="s">
        <v>1147</v>
      </c>
      <c r="C4" s="6" t="s">
        <v>1148</v>
      </c>
      <c r="D4" s="6" t="s">
        <v>1149</v>
      </c>
      <c r="E4" s="6" t="s">
        <v>1150</v>
      </c>
    </row>
    <row r="5" customFormat="false" ht="39.75" hidden="false" customHeight="true" outlineLevel="0" collapsed="false">
      <c r="A5" s="5" t="s">
        <v>1151</v>
      </c>
      <c r="B5" s="5" t="s">
        <v>1152</v>
      </c>
      <c r="C5" s="5" t="s">
        <v>1153</v>
      </c>
      <c r="D5" s="5" t="s">
        <v>1154</v>
      </c>
      <c r="E5" s="5" t="s">
        <v>1155</v>
      </c>
    </row>
    <row r="6" customFormat="false" ht="39.75" hidden="false" customHeight="true" outlineLevel="0" collapsed="false">
      <c r="A6" s="5" t="s">
        <v>1156</v>
      </c>
      <c r="B6" s="5" t="s">
        <v>1157</v>
      </c>
      <c r="C6" s="5" t="s">
        <v>1158</v>
      </c>
      <c r="D6" s="5" t="s">
        <v>1159</v>
      </c>
      <c r="E6" s="5" t="s">
        <v>1160</v>
      </c>
    </row>
    <row r="7" customFormat="false" ht="39.75" hidden="false" customHeight="true" outlineLevel="0" collapsed="false">
      <c r="A7" s="5" t="s">
        <v>1161</v>
      </c>
      <c r="B7" s="5" t="s">
        <v>1162</v>
      </c>
      <c r="C7" s="5" t="s">
        <v>1163</v>
      </c>
      <c r="D7" s="5" t="s">
        <v>1164</v>
      </c>
      <c r="E7" s="5" t="s">
        <v>1165</v>
      </c>
    </row>
    <row r="8" customFormat="false" ht="39.75" hidden="false" customHeight="true" outlineLevel="0" collapsed="false">
      <c r="A8" s="5" t="s">
        <v>1166</v>
      </c>
      <c r="B8" s="5" t="s">
        <v>1167</v>
      </c>
      <c r="C8" s="5" t="s">
        <v>1168</v>
      </c>
      <c r="D8" s="5" t="s">
        <v>1169</v>
      </c>
      <c r="E8" s="5" t="s">
        <v>1170</v>
      </c>
    </row>
    <row r="9" customFormat="false" ht="39.75" hidden="false" customHeight="true" outlineLevel="0" collapsed="false">
      <c r="A9" s="5" t="s">
        <v>1171</v>
      </c>
      <c r="B9" s="5" t="s">
        <v>1172</v>
      </c>
      <c r="C9" s="5" t="s">
        <v>1173</v>
      </c>
      <c r="D9" s="5" t="s">
        <v>1174</v>
      </c>
      <c r="E9" s="5" t="s">
        <v>1175</v>
      </c>
    </row>
    <row r="10" customFormat="false" ht="39.75" hidden="false" customHeight="true" outlineLevel="0" collapsed="false">
      <c r="A10" s="5" t="s">
        <v>1176</v>
      </c>
      <c r="B10" s="5" t="s">
        <v>1177</v>
      </c>
      <c r="C10" s="5" t="s">
        <v>1178</v>
      </c>
      <c r="D10" s="5" t="s">
        <v>1179</v>
      </c>
      <c r="E10" s="5" t="s">
        <v>1180</v>
      </c>
    </row>
    <row r="11" customFormat="false" ht="39.75" hidden="false" customHeight="true" outlineLevel="0" collapsed="false">
      <c r="A11" s="5" t="s">
        <v>1181</v>
      </c>
      <c r="B11" s="5" t="s">
        <v>1182</v>
      </c>
      <c r="C11" s="5" t="s">
        <v>1183</v>
      </c>
      <c r="D11" s="5" t="s">
        <v>1184</v>
      </c>
      <c r="E11" s="5" t="s">
        <v>1185</v>
      </c>
    </row>
    <row r="12" customFormat="false" ht="39.75" hidden="false" customHeight="true" outlineLevel="0" collapsed="false">
      <c r="A12" s="5" t="s">
        <v>1186</v>
      </c>
      <c r="B12" s="5" t="s">
        <v>1187</v>
      </c>
      <c r="C12" s="5" t="s">
        <v>1188</v>
      </c>
      <c r="D12" s="5" t="s">
        <v>1189</v>
      </c>
      <c r="E12" s="5"/>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40"/>
    <col collapsed="false" customWidth="true" hidden="false" outlineLevel="0" max="4" min="4" style="0" width="36"/>
    <col collapsed="false" customWidth="true" hidden="false" outlineLevel="0" max="5" min="5" style="0" width="38"/>
  </cols>
  <sheetData>
    <row r="1" customFormat="false" ht="15" hidden="false" customHeight="false" outlineLevel="0" collapsed="false">
      <c r="A1" s="1" t="s">
        <v>0</v>
      </c>
      <c r="B1" s="1"/>
      <c r="C1" s="1"/>
      <c r="D1" s="1"/>
      <c r="E1" s="1"/>
      <c r="F1" s="1"/>
      <c r="G1" s="1"/>
      <c r="H1" s="1"/>
    </row>
    <row r="2" customFormat="false" ht="17.35" hidden="false" customHeight="false" outlineLevel="0" collapsed="false">
      <c r="A2" s="2" t="s">
        <v>1190</v>
      </c>
    </row>
    <row r="3" customFormat="false" ht="15" hidden="false" customHeight="false" outlineLevel="0" collapsed="false">
      <c r="A3" s="3" t="s">
        <v>1191</v>
      </c>
    </row>
    <row r="4" customFormat="false" ht="31.5" hidden="false" customHeight="true" outlineLevel="0" collapsed="false">
      <c r="A4" s="6" t="s">
        <v>1192</v>
      </c>
      <c r="B4" s="6" t="s">
        <v>1193</v>
      </c>
      <c r="C4" s="6" t="s">
        <v>1194</v>
      </c>
      <c r="D4" s="6" t="s">
        <v>1195</v>
      </c>
      <c r="E4" s="6" t="s">
        <v>1196</v>
      </c>
    </row>
    <row r="5" customFormat="false" ht="43.5" hidden="false" customHeight="true" outlineLevel="0" collapsed="false">
      <c r="A5" s="5" t="s">
        <v>1197</v>
      </c>
      <c r="B5" s="5" t="s">
        <v>1198</v>
      </c>
      <c r="C5" s="5" t="s">
        <v>1199</v>
      </c>
      <c r="D5" s="5" t="s">
        <v>1200</v>
      </c>
      <c r="E5" s="5" t="s">
        <v>1201</v>
      </c>
    </row>
    <row r="6" customFormat="false" ht="43.5" hidden="false" customHeight="true" outlineLevel="0" collapsed="false">
      <c r="A6" s="5" t="s">
        <v>1202</v>
      </c>
      <c r="B6" s="5" t="s">
        <v>1203</v>
      </c>
      <c r="C6" s="5" t="s">
        <v>1204</v>
      </c>
      <c r="D6" s="5" t="s">
        <v>1205</v>
      </c>
      <c r="E6" s="5" t="s">
        <v>1206</v>
      </c>
    </row>
    <row r="7" customFormat="false" ht="43.5" hidden="false" customHeight="true" outlineLevel="0" collapsed="false">
      <c r="A7" s="5" t="s">
        <v>1207</v>
      </c>
      <c r="B7" s="5" t="s">
        <v>1208</v>
      </c>
      <c r="C7" s="5" t="s">
        <v>1209</v>
      </c>
      <c r="D7" s="5" t="s">
        <v>1210</v>
      </c>
      <c r="E7" s="5" t="s">
        <v>1211</v>
      </c>
    </row>
    <row r="8" customFormat="false" ht="43.5" hidden="false" customHeight="true" outlineLevel="0" collapsed="false">
      <c r="A8" s="5" t="s">
        <v>1212</v>
      </c>
      <c r="B8" s="5" t="s">
        <v>1213</v>
      </c>
      <c r="C8" s="5" t="s">
        <v>1214</v>
      </c>
      <c r="D8" s="5" t="s">
        <v>1215</v>
      </c>
      <c r="E8" s="5" t="s">
        <v>1216</v>
      </c>
    </row>
    <row r="9" customFormat="false" ht="43.5" hidden="false" customHeight="true" outlineLevel="0" collapsed="false">
      <c r="A9" s="5" t="s">
        <v>1217</v>
      </c>
      <c r="B9" s="5" t="s">
        <v>1218</v>
      </c>
      <c r="C9" s="5" t="s">
        <v>1219</v>
      </c>
      <c r="D9" s="5" t="s">
        <v>1220</v>
      </c>
      <c r="E9" s="5" t="s">
        <v>1221</v>
      </c>
    </row>
    <row r="10" customFormat="false" ht="43.5" hidden="false" customHeight="true" outlineLevel="0" collapsed="false">
      <c r="A10" s="5" t="s">
        <v>1222</v>
      </c>
      <c r="B10" s="5" t="s">
        <v>1223</v>
      </c>
      <c r="C10" s="5" t="s">
        <v>1224</v>
      </c>
      <c r="D10" s="5" t="s">
        <v>1225</v>
      </c>
      <c r="E10" s="5" t="s">
        <v>1226</v>
      </c>
    </row>
    <row r="11" customFormat="false" ht="43.5" hidden="false" customHeight="true" outlineLevel="0" collapsed="false">
      <c r="A11" s="5" t="s">
        <v>1227</v>
      </c>
      <c r="B11" s="5" t="s">
        <v>1228</v>
      </c>
      <c r="C11" s="5" t="s">
        <v>1229</v>
      </c>
      <c r="D11" s="5" t="s">
        <v>1230</v>
      </c>
      <c r="E11" s="5" t="s">
        <v>1231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8"/>
    <col collapsed="false" customWidth="true" hidden="false" outlineLevel="0" max="4" min="4" style="0" width="26"/>
    <col collapsed="false" customWidth="true" hidden="false" outlineLevel="0" max="6" min="5" style="0" width="28"/>
    <col collapsed="false" customWidth="true" hidden="false" outlineLevel="0" max="7" min="7" style="0" width="32"/>
    <col collapsed="false" customWidth="true" hidden="false" outlineLevel="0" max="8" min="8" style="0" width="36"/>
  </cols>
  <sheetData>
    <row r="1" customFormat="false" ht="15" hidden="false" customHeight="false" outlineLevel="0" collapsed="false">
      <c r="A1" s="1" t="s">
        <v>0</v>
      </c>
      <c r="B1" s="1"/>
      <c r="C1" s="1"/>
      <c r="D1" s="1"/>
      <c r="E1" s="1"/>
      <c r="F1" s="1"/>
      <c r="G1" s="1"/>
      <c r="H1" s="1"/>
    </row>
    <row r="2" customFormat="false" ht="17.35" hidden="false" customHeight="false" outlineLevel="0" collapsed="false">
      <c r="A2" s="2" t="s">
        <v>1232</v>
      </c>
    </row>
    <row r="3" customFormat="false" ht="15" hidden="false" customHeight="false" outlineLevel="0" collapsed="false">
      <c r="A3" s="3" t="s">
        <v>1233</v>
      </c>
    </row>
    <row r="4" customFormat="false" ht="31.5" hidden="false" customHeight="true" outlineLevel="0" collapsed="false">
      <c r="A4" s="6" t="s">
        <v>1095</v>
      </c>
      <c r="B4" s="6" t="s">
        <v>1234</v>
      </c>
      <c r="C4" s="6" t="s">
        <v>3</v>
      </c>
      <c r="D4" s="6" t="s">
        <v>1235</v>
      </c>
      <c r="E4" s="6" t="s">
        <v>1236</v>
      </c>
      <c r="F4" s="6" t="s">
        <v>1237</v>
      </c>
      <c r="G4" s="6" t="s">
        <v>1238</v>
      </c>
      <c r="H4" s="6" t="s">
        <v>21</v>
      </c>
    </row>
    <row r="5" customFormat="false" ht="43.5" hidden="false" customHeight="true" outlineLevel="0" collapsed="false">
      <c r="A5" s="9" t="n">
        <v>1</v>
      </c>
      <c r="B5" s="5" t="s">
        <v>1239</v>
      </c>
      <c r="C5" s="5" t="s">
        <v>1240</v>
      </c>
      <c r="D5" s="5" t="s">
        <v>1067</v>
      </c>
      <c r="E5" s="5" t="s">
        <v>1067</v>
      </c>
      <c r="F5" s="5" t="s">
        <v>1067</v>
      </c>
      <c r="G5" s="5" t="s">
        <v>1241</v>
      </c>
      <c r="H5" s="5" t="s">
        <v>1242</v>
      </c>
    </row>
    <row r="6" customFormat="false" ht="43.5" hidden="false" customHeight="true" outlineLevel="0" collapsed="false">
      <c r="A6" s="9" t="n">
        <v>2</v>
      </c>
      <c r="B6" s="5" t="s">
        <v>1243</v>
      </c>
      <c r="C6" s="5" t="s">
        <v>1244</v>
      </c>
      <c r="D6" s="5" t="s">
        <v>1245</v>
      </c>
      <c r="E6" s="5" t="s">
        <v>1246</v>
      </c>
      <c r="F6" s="5" t="s">
        <v>1247</v>
      </c>
      <c r="G6" s="5" t="s">
        <v>1248</v>
      </c>
      <c r="H6" s="5" t="s">
        <v>1249</v>
      </c>
    </row>
    <row r="7" customFormat="false" ht="43.5" hidden="false" customHeight="true" outlineLevel="0" collapsed="false">
      <c r="A7" s="9" t="n">
        <v>3</v>
      </c>
      <c r="B7" s="5" t="s">
        <v>1250</v>
      </c>
      <c r="C7" s="5" t="s">
        <v>1251</v>
      </c>
      <c r="D7" s="5" t="s">
        <v>1252</v>
      </c>
      <c r="E7" s="5" t="s">
        <v>1253</v>
      </c>
      <c r="F7" s="5" t="s">
        <v>1254</v>
      </c>
      <c r="G7" s="5" t="s">
        <v>1255</v>
      </c>
      <c r="H7" s="5" t="s">
        <v>1256</v>
      </c>
    </row>
    <row r="8" customFormat="false" ht="43.5" hidden="false" customHeight="true" outlineLevel="0" collapsed="false">
      <c r="A8" s="9" t="n">
        <v>4</v>
      </c>
      <c r="B8" s="5" t="s">
        <v>1257</v>
      </c>
      <c r="C8" s="5" t="s">
        <v>1258</v>
      </c>
      <c r="D8" s="5" t="s">
        <v>1253</v>
      </c>
      <c r="E8" s="5" t="s">
        <v>1259</v>
      </c>
      <c r="F8" s="5" t="s">
        <v>1260</v>
      </c>
      <c r="G8" s="5" t="s">
        <v>1261</v>
      </c>
      <c r="H8" s="5" t="s">
        <v>1262</v>
      </c>
    </row>
    <row r="9" customFormat="false" ht="43.5" hidden="false" customHeight="true" outlineLevel="0" collapsed="false">
      <c r="A9" s="9" t="n">
        <v>5</v>
      </c>
      <c r="B9" s="5" t="s">
        <v>1263</v>
      </c>
      <c r="C9" s="5" t="s">
        <v>1264</v>
      </c>
      <c r="D9" s="5" t="s">
        <v>1265</v>
      </c>
      <c r="E9" s="5" t="s">
        <v>1266</v>
      </c>
      <c r="F9" s="5" t="s">
        <v>1267</v>
      </c>
      <c r="G9" s="5" t="s">
        <v>1268</v>
      </c>
      <c r="H9" s="5" t="s">
        <v>1269</v>
      </c>
    </row>
    <row r="10" customFormat="false" ht="43.5" hidden="false" customHeight="true" outlineLevel="0" collapsed="false">
      <c r="A10" s="9" t="n">
        <v>6</v>
      </c>
      <c r="B10" s="5" t="s">
        <v>1270</v>
      </c>
      <c r="C10" s="5" t="s">
        <v>1271</v>
      </c>
      <c r="D10" s="5" t="s">
        <v>1272</v>
      </c>
      <c r="E10" s="5" t="s">
        <v>1273</v>
      </c>
      <c r="F10" s="5" t="s">
        <v>1274</v>
      </c>
      <c r="G10" s="5" t="s">
        <v>1275</v>
      </c>
      <c r="H10" s="5" t="s">
        <v>1276</v>
      </c>
    </row>
    <row r="11" customFormat="false" ht="43.5" hidden="false" customHeight="true" outlineLevel="0" collapsed="false">
      <c r="A11" s="9" t="n">
        <v>7</v>
      </c>
      <c r="B11" s="5" t="s">
        <v>1277</v>
      </c>
      <c r="C11" s="5" t="s">
        <v>1278</v>
      </c>
      <c r="D11" s="5" t="s">
        <v>489</v>
      </c>
      <c r="E11" s="5" t="s">
        <v>1279</v>
      </c>
      <c r="F11" s="5" t="s">
        <v>1280</v>
      </c>
      <c r="G11" s="5" t="s">
        <v>1281</v>
      </c>
      <c r="H11" s="5" t="s">
        <v>1282</v>
      </c>
    </row>
    <row r="12" customFormat="false" ht="43.5" hidden="false" customHeight="true" outlineLevel="0" collapsed="false">
      <c r="A12" s="9" t="n">
        <v>8</v>
      </c>
      <c r="B12" s="5" t="s">
        <v>1283</v>
      </c>
      <c r="C12" s="5" t="s">
        <v>1284</v>
      </c>
      <c r="D12" s="5" t="s">
        <v>535</v>
      </c>
      <c r="E12" s="5" t="s">
        <v>1285</v>
      </c>
      <c r="F12" s="5" t="s">
        <v>1286</v>
      </c>
      <c r="G12" s="5" t="s">
        <v>1287</v>
      </c>
      <c r="H12" s="5" t="s">
        <v>1288</v>
      </c>
    </row>
    <row r="13" customFormat="false" ht="43.5" hidden="false" customHeight="true" outlineLevel="0" collapsed="false">
      <c r="A13" s="9" t="n">
        <v>9</v>
      </c>
      <c r="B13" s="5" t="s">
        <v>1289</v>
      </c>
      <c r="C13" s="5" t="s">
        <v>1290</v>
      </c>
      <c r="D13" s="5" t="s">
        <v>553</v>
      </c>
      <c r="E13" s="5" t="s">
        <v>1291</v>
      </c>
      <c r="F13" s="5" t="s">
        <v>1292</v>
      </c>
      <c r="G13" s="5" t="s">
        <v>1293</v>
      </c>
      <c r="H13" s="5" t="s">
        <v>1294</v>
      </c>
    </row>
    <row r="14" customFormat="false" ht="43.5" hidden="false" customHeight="true" outlineLevel="0" collapsed="false">
      <c r="A14" s="9" t="n">
        <v>10</v>
      </c>
      <c r="B14" s="5" t="s">
        <v>1295</v>
      </c>
      <c r="C14" s="5" t="s">
        <v>1296</v>
      </c>
      <c r="D14" s="5" t="s">
        <v>1297</v>
      </c>
      <c r="E14" s="5" t="s">
        <v>1298</v>
      </c>
      <c r="F14" s="5" t="s">
        <v>1299</v>
      </c>
      <c r="G14" s="5" t="s">
        <v>1300</v>
      </c>
      <c r="H14" s="5" t="s">
        <v>1301</v>
      </c>
    </row>
    <row r="15" customFormat="false" ht="43.5" hidden="false" customHeight="true" outlineLevel="0" collapsed="false">
      <c r="A15" s="9" t="n">
        <v>11</v>
      </c>
      <c r="B15" s="5" t="s">
        <v>1302</v>
      </c>
      <c r="C15" s="5" t="s">
        <v>1303</v>
      </c>
      <c r="D15" s="5" t="s">
        <v>1304</v>
      </c>
      <c r="E15" s="5" t="s">
        <v>1305</v>
      </c>
      <c r="F15" s="5" t="s">
        <v>1306</v>
      </c>
      <c r="G15" s="5" t="s">
        <v>1307</v>
      </c>
      <c r="H15" s="5" t="s">
        <v>1308</v>
      </c>
    </row>
    <row r="16" customFormat="false" ht="43.5" hidden="false" customHeight="true" outlineLevel="0" collapsed="false">
      <c r="A16" s="9" t="n">
        <v>12</v>
      </c>
      <c r="B16" s="5" t="s">
        <v>1309</v>
      </c>
      <c r="C16" s="5" t="s">
        <v>1310</v>
      </c>
      <c r="D16" s="5" t="s">
        <v>1311</v>
      </c>
      <c r="E16" s="5" t="s">
        <v>1312</v>
      </c>
      <c r="F16" s="5" t="s">
        <v>1313</v>
      </c>
      <c r="G16" s="5" t="s">
        <v>1314</v>
      </c>
      <c r="H16" s="5" t="s">
        <v>1315</v>
      </c>
    </row>
    <row r="17" customFormat="false" ht="43.5" hidden="false" customHeight="true" outlineLevel="0" collapsed="false">
      <c r="A17" s="9" t="n">
        <v>13</v>
      </c>
      <c r="B17" s="5" t="s">
        <v>1316</v>
      </c>
      <c r="C17" s="5" t="s">
        <v>1317</v>
      </c>
      <c r="D17" s="5" t="s">
        <v>1318</v>
      </c>
      <c r="E17" s="5" t="s">
        <v>1319</v>
      </c>
      <c r="F17" s="5" t="s">
        <v>1320</v>
      </c>
      <c r="G17" s="5" t="s">
        <v>1321</v>
      </c>
      <c r="H17" s="5" t="s">
        <v>1322</v>
      </c>
    </row>
    <row r="18" customFormat="false" ht="43.5" hidden="false" customHeight="true" outlineLevel="0" collapsed="false">
      <c r="A18" s="9" t="n">
        <v>14</v>
      </c>
      <c r="B18" s="5" t="s">
        <v>1323</v>
      </c>
      <c r="C18" s="5" t="s">
        <v>1324</v>
      </c>
      <c r="D18" s="5" t="s">
        <v>1325</v>
      </c>
      <c r="E18" s="5" t="s">
        <v>1326</v>
      </c>
      <c r="F18" s="5" t="s">
        <v>1327</v>
      </c>
      <c r="G18" s="5" t="s">
        <v>1328</v>
      </c>
      <c r="H18" s="5" t="s">
        <v>1329</v>
      </c>
    </row>
    <row r="19" customFormat="false" ht="43.5" hidden="false" customHeight="true" outlineLevel="0" collapsed="false">
      <c r="A19" s="9" t="n">
        <v>15</v>
      </c>
      <c r="B19" s="5" t="s">
        <v>1330</v>
      </c>
      <c r="C19" s="5" t="s">
        <v>1331</v>
      </c>
      <c r="D19" s="5" t="s">
        <v>1332</v>
      </c>
      <c r="E19" s="5" t="s">
        <v>1333</v>
      </c>
      <c r="F19" s="5" t="s">
        <v>1334</v>
      </c>
      <c r="G19" s="5" t="s">
        <v>1335</v>
      </c>
      <c r="H19" s="5" t="s">
        <v>1336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2026-09-23T18:58:37Z</dcterms:created>
  <dc:creator>openpyxl</dc:creator>
  <dc:description/>
  <dc:language>en-US</dc:language>
  <cp:lastModifiedBy/>
  <dcterms:modified xsi:type="dcterms:W3CDTF">2026-09-23T18:58:39Z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